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/>
  <mc:AlternateContent xmlns:mc="http://schemas.openxmlformats.org/markup-compatibility/2006">
    <mc:Choice Requires="x15">
      <x15ac:absPath xmlns:x15ac="http://schemas.microsoft.com/office/spreadsheetml/2010/11/ac" url="/Users/Moritz/Documents/GitHub/C-Praktikum/45/Evaluation/Data/"/>
    </mc:Choice>
  </mc:AlternateContent>
  <xr:revisionPtr revIDLastSave="0" documentId="13_ncr:1_{6C287D90-1342-014E-90A1-8B5B5D8B2F42}" xr6:coauthVersionLast="47" xr6:coauthVersionMax="47" xr10:uidLastSave="{00000000-0000-0000-0000-000000000000}"/>
  <bookViews>
    <workbookView xWindow="2260" yWindow="2340" windowWidth="27380" windowHeight="19320" xr2:uid="{00000000-000D-0000-FFFF-FFFF00000000}"/>
  </bookViews>
  <sheets>
    <sheet name="Planck" sheetId="1" r:id="rId1"/>
    <sheet name="Bolzmannkon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2" l="1"/>
  <c r="N31" i="2"/>
  <c r="O30" i="2"/>
  <c r="N30" i="2"/>
  <c r="O29" i="2"/>
  <c r="N29" i="2"/>
  <c r="O28" i="2"/>
  <c r="N28" i="2"/>
  <c r="J28" i="2"/>
  <c r="I28" i="2"/>
  <c r="O27" i="2"/>
  <c r="N27" i="2"/>
  <c r="J27" i="2"/>
  <c r="I27" i="2"/>
  <c r="O26" i="2"/>
  <c r="N26" i="2"/>
  <c r="J26" i="2"/>
  <c r="I26" i="2"/>
  <c r="O25" i="2"/>
  <c r="N25" i="2"/>
  <c r="J25" i="2"/>
  <c r="I25" i="2"/>
  <c r="D25" i="2"/>
  <c r="C25" i="2"/>
  <c r="O24" i="2"/>
  <c r="N24" i="2"/>
  <c r="J24" i="2"/>
  <c r="I24" i="2"/>
  <c r="D24" i="2"/>
  <c r="C24" i="2"/>
  <c r="O23" i="2"/>
  <c r="N23" i="2"/>
  <c r="J23" i="2"/>
  <c r="I23" i="2"/>
  <c r="D23" i="2"/>
  <c r="C23" i="2"/>
  <c r="O22" i="2"/>
  <c r="N22" i="2"/>
  <c r="J22" i="2"/>
  <c r="I22" i="2"/>
  <c r="D22" i="2"/>
  <c r="C22" i="2"/>
  <c r="O21" i="2"/>
  <c r="N21" i="2"/>
  <c r="J21" i="2"/>
  <c r="I21" i="2"/>
  <c r="D21" i="2"/>
  <c r="C21" i="2"/>
  <c r="O20" i="2"/>
  <c r="N20" i="2"/>
  <c r="J20" i="2"/>
  <c r="I20" i="2"/>
  <c r="D20" i="2"/>
  <c r="C20" i="2"/>
  <c r="O19" i="2"/>
  <c r="N19" i="2"/>
  <c r="J19" i="2"/>
  <c r="I19" i="2"/>
  <c r="D19" i="2"/>
  <c r="C19" i="2"/>
  <c r="O18" i="2"/>
  <c r="N18" i="2"/>
  <c r="J18" i="2"/>
  <c r="I18" i="2"/>
  <c r="D18" i="2"/>
  <c r="C18" i="2"/>
  <c r="O17" i="2"/>
  <c r="N17" i="2"/>
  <c r="J17" i="2"/>
  <c r="I17" i="2"/>
  <c r="D17" i="2"/>
  <c r="C17" i="2"/>
  <c r="O16" i="2"/>
  <c r="N16" i="2"/>
  <c r="J16" i="2"/>
  <c r="I16" i="2"/>
  <c r="D16" i="2"/>
  <c r="C16" i="2"/>
  <c r="O15" i="2"/>
  <c r="N15" i="2"/>
  <c r="J15" i="2"/>
  <c r="I15" i="2"/>
  <c r="D15" i="2"/>
  <c r="C15" i="2"/>
  <c r="O14" i="2"/>
  <c r="N14" i="2"/>
  <c r="J14" i="2"/>
  <c r="I14" i="2"/>
  <c r="D14" i="2"/>
  <c r="C14" i="2"/>
  <c r="O13" i="2"/>
  <c r="N13" i="2"/>
  <c r="J13" i="2"/>
  <c r="I13" i="2"/>
  <c r="D13" i="2"/>
  <c r="C13" i="2"/>
  <c r="O12" i="2"/>
  <c r="N12" i="2"/>
  <c r="J12" i="2"/>
  <c r="I12" i="2"/>
  <c r="D12" i="2"/>
  <c r="C12" i="2"/>
  <c r="O11" i="2"/>
  <c r="N11" i="2"/>
  <c r="J11" i="2"/>
  <c r="I11" i="2"/>
  <c r="D11" i="2"/>
  <c r="C11" i="2"/>
  <c r="O10" i="2"/>
  <c r="N10" i="2"/>
  <c r="J10" i="2"/>
  <c r="I10" i="2"/>
  <c r="D10" i="2"/>
  <c r="C10" i="2"/>
  <c r="O9" i="2"/>
  <c r="N9" i="2"/>
  <c r="J9" i="2"/>
  <c r="I9" i="2"/>
  <c r="D9" i="2"/>
  <c r="C9" i="2"/>
  <c r="O8" i="2"/>
  <c r="N8" i="2"/>
  <c r="J8" i="2"/>
  <c r="I8" i="2"/>
  <c r="D8" i="2"/>
  <c r="C8" i="2"/>
  <c r="O7" i="2"/>
  <c r="N7" i="2"/>
  <c r="J7" i="2"/>
  <c r="I7" i="2"/>
  <c r="D7" i="2"/>
  <c r="C7" i="2"/>
  <c r="O6" i="2"/>
  <c r="N6" i="2"/>
  <c r="J6" i="2"/>
  <c r="I6" i="2"/>
  <c r="D6" i="2"/>
  <c r="C6" i="2"/>
  <c r="O5" i="2"/>
  <c r="N5" i="2"/>
  <c r="J5" i="2"/>
  <c r="I5" i="2"/>
  <c r="D5" i="2"/>
  <c r="C5" i="2"/>
  <c r="O4" i="2"/>
  <c r="N4" i="2"/>
  <c r="J4" i="2"/>
  <c r="I4" i="2"/>
  <c r="D4" i="2"/>
  <c r="C4" i="2"/>
  <c r="O3" i="2"/>
  <c r="N3" i="2"/>
  <c r="J3" i="2"/>
  <c r="I3" i="2"/>
  <c r="D3" i="2"/>
  <c r="C3" i="2"/>
  <c r="O2" i="2"/>
  <c r="N2" i="2"/>
  <c r="J2" i="2"/>
  <c r="I2" i="2"/>
  <c r="D2" i="2"/>
  <c r="C2" i="2"/>
  <c r="D33" i="1"/>
  <c r="D32" i="1"/>
  <c r="D31" i="1"/>
  <c r="D30" i="1"/>
  <c r="X29" i="1"/>
  <c r="D29" i="1"/>
  <c r="X28" i="1"/>
  <c r="D28" i="1"/>
  <c r="X27" i="1"/>
  <c r="D27" i="1"/>
  <c r="X26" i="1"/>
  <c r="D26" i="1"/>
  <c r="X25" i="1"/>
  <c r="D25" i="1"/>
  <c r="X24" i="1"/>
  <c r="D24" i="1"/>
  <c r="X23" i="1"/>
  <c r="D23" i="1"/>
  <c r="X22" i="1"/>
  <c r="D22" i="1"/>
  <c r="X21" i="1"/>
  <c r="I21" i="1"/>
  <c r="D21" i="1"/>
  <c r="X20" i="1"/>
  <c r="I20" i="1"/>
  <c r="D20" i="1"/>
  <c r="X19" i="1"/>
  <c r="S19" i="1"/>
  <c r="I19" i="1"/>
  <c r="D19" i="1"/>
  <c r="X18" i="1"/>
  <c r="S18" i="1"/>
  <c r="I18" i="1"/>
  <c r="D18" i="1"/>
  <c r="X17" i="1"/>
  <c r="S17" i="1"/>
  <c r="N17" i="1"/>
  <c r="I17" i="1"/>
  <c r="D17" i="1"/>
  <c r="X16" i="1"/>
  <c r="S16" i="1"/>
  <c r="N16" i="1"/>
  <c r="I16" i="1"/>
  <c r="D16" i="1"/>
  <c r="X15" i="1"/>
  <c r="S15" i="1"/>
  <c r="N15" i="1"/>
  <c r="I15" i="1"/>
  <c r="D15" i="1"/>
  <c r="X14" i="1"/>
  <c r="S14" i="1"/>
  <c r="N14" i="1"/>
  <c r="I14" i="1"/>
  <c r="D14" i="1"/>
  <c r="X13" i="1"/>
  <c r="S13" i="1"/>
  <c r="N13" i="1"/>
  <c r="I13" i="1"/>
  <c r="D13" i="1"/>
  <c r="X12" i="1"/>
  <c r="S12" i="1"/>
  <c r="N12" i="1"/>
  <c r="I12" i="1"/>
  <c r="D12" i="1"/>
  <c r="X11" i="1"/>
  <c r="S11" i="1"/>
  <c r="N11" i="1"/>
  <c r="I11" i="1"/>
  <c r="D11" i="1"/>
  <c r="X10" i="1"/>
  <c r="S10" i="1"/>
  <c r="N10" i="1"/>
  <c r="I10" i="1"/>
  <c r="D10" i="1"/>
  <c r="X9" i="1"/>
  <c r="S9" i="1"/>
  <c r="N9" i="1"/>
  <c r="I9" i="1"/>
  <c r="D9" i="1"/>
  <c r="X8" i="1"/>
  <c r="S8" i="1"/>
  <c r="N8" i="1"/>
  <c r="I8" i="1"/>
  <c r="D8" i="1"/>
  <c r="X7" i="1"/>
  <c r="S7" i="1"/>
  <c r="N7" i="1"/>
  <c r="I7" i="1"/>
  <c r="D7" i="1"/>
  <c r="X6" i="1"/>
  <c r="S6" i="1"/>
  <c r="N6" i="1"/>
  <c r="I6" i="1"/>
  <c r="D6" i="1"/>
  <c r="X5" i="1"/>
  <c r="S5" i="1"/>
  <c r="N5" i="1"/>
  <c r="I5" i="1"/>
  <c r="D5" i="1"/>
  <c r="X4" i="1"/>
  <c r="S4" i="1"/>
  <c r="N4" i="1"/>
  <c r="I4" i="1"/>
  <c r="D4" i="1"/>
  <c r="X3" i="1"/>
  <c r="S3" i="1"/>
  <c r="N3" i="1"/>
  <c r="I3" i="1"/>
  <c r="D3" i="1"/>
  <c r="X2" i="1"/>
  <c r="S2" i="1"/>
  <c r="N2" i="1"/>
  <c r="I2" i="1"/>
  <c r="D2" i="1"/>
</calcChain>
</file>

<file path=xl/sharedStrings.xml><?xml version="1.0" encoding="utf-8"?>
<sst xmlns="http://schemas.openxmlformats.org/spreadsheetml/2006/main" count="34" uniqueCount="34">
  <si>
    <t>U (T=40 C)</t>
  </si>
  <si>
    <t>I (T=40 C)</t>
  </si>
  <si>
    <t>Error I (T=40 C)</t>
  </si>
  <si>
    <t>Error U (T=40 C)</t>
  </si>
  <si>
    <t>ALLE I IN mA</t>
  </si>
  <si>
    <t>U (T=80 C)</t>
  </si>
  <si>
    <t>I (T=80 C)</t>
  </si>
  <si>
    <t>Error I (T=80 C)</t>
  </si>
  <si>
    <t>Error U (T=80 C)</t>
  </si>
  <si>
    <t>U (T=120 C)</t>
  </si>
  <si>
    <t>I (T=120 C)</t>
  </si>
  <si>
    <t>Error I (T=120C)</t>
  </si>
  <si>
    <t>Error U (T=120 C)</t>
  </si>
  <si>
    <t>U (366nm)</t>
  </si>
  <si>
    <t>I (366nm)</t>
  </si>
  <si>
    <t>Error I (366nm)</t>
  </si>
  <si>
    <t>Error U (366nm)</t>
  </si>
  <si>
    <t>ALLE I IN nA</t>
  </si>
  <si>
    <t>U (436nm)</t>
  </si>
  <si>
    <t>I (436nm)</t>
  </si>
  <si>
    <t>Error I (436nm)</t>
  </si>
  <si>
    <t>Error U (436nm)</t>
  </si>
  <si>
    <t>I (546nm)</t>
  </si>
  <si>
    <t>Error I (546nm)</t>
  </si>
  <si>
    <t>Error U (546nm)</t>
  </si>
  <si>
    <t>I (578nm)</t>
  </si>
  <si>
    <t>Error I (578nm)</t>
  </si>
  <si>
    <t>U (405nm)</t>
  </si>
  <si>
    <t>I (405nm)</t>
  </si>
  <si>
    <t>Error I (405nm)</t>
  </si>
  <si>
    <t>Error U (405nm)</t>
  </si>
  <si>
    <t>Error U (578nm)</t>
  </si>
  <si>
    <t>U (546nm)</t>
  </si>
  <si>
    <t>U (578nm)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</si>
</sst>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1" xfId="0" applyNumberFormat="1" applyFont="1" applyBorder="1" applyAlignment="1">
      <alignment horizontal="left"/>
    </xf>
    <xf numFmtId="164" fontId="0" fillId="0" borderId="0" xfId="0" applyNumberFormat="1"/>
    <xf numFmtId="164" fontId="1" fillId="2" borderId="2" xfId="0" applyNumberFormat="1" applyFont="1" applyFill="1" applyBorder="1" applyAlignment="1">
      <alignment horizontal="left"/>
    </xf>
    <xf numFmtId="16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33"/>
  <sheetViews>
    <sheetView tabSelected="1" topLeftCell="C1" zoomScale="150" workbookViewId="0">
      <selection activeCell="A2" sqref="A2:B33"/>
    </sheetView>
  </sheetViews>
  <sheetFormatPr baseColWidth="10" defaultColWidth="8.83203125" defaultRowHeight="15" x14ac:dyDescent="0.2"/>
  <cols>
    <col min="1" max="2" width="16.33203125" style="4" bestFit="1" customWidth="1"/>
    <col min="3" max="4" width="12.5" style="4" bestFit="1" customWidth="1"/>
    <col min="5" max="5" width="12.5" style="2" bestFit="1" customWidth="1"/>
    <col min="6" max="7" width="16.33203125" style="2" bestFit="1" customWidth="1"/>
    <col min="8" max="10" width="12.5" style="2" bestFit="1" customWidth="1"/>
    <col min="11" max="12" width="16.33203125" style="2" bestFit="1" customWidth="1"/>
    <col min="13" max="15" width="12.5" style="2" bestFit="1" customWidth="1"/>
    <col min="16" max="17" width="16.33203125" style="2" bestFit="1" customWidth="1"/>
    <col min="18" max="20" width="12.5" style="2" bestFit="1" customWidth="1"/>
    <col min="21" max="22" width="16.33203125" style="2" bestFit="1" customWidth="1"/>
    <col min="23" max="24" width="12.5" style="2" bestFit="1" customWidth="1"/>
    <col min="25" max="16384" width="8.83203125" style="2"/>
  </cols>
  <sheetData>
    <row r="1" spans="1:24" ht="17.25" customHeight="1" x14ac:dyDescent="0.2">
      <c r="A1" s="1" t="s">
        <v>13</v>
      </c>
      <c r="B1" s="1" t="s">
        <v>14</v>
      </c>
      <c r="C1" s="4" t="s">
        <v>15</v>
      </c>
      <c r="D1" s="4" t="s">
        <v>16</v>
      </c>
      <c r="E1" s="3" t="s">
        <v>17</v>
      </c>
      <c r="F1" s="1" t="s">
        <v>18</v>
      </c>
      <c r="G1" s="1" t="s">
        <v>19</v>
      </c>
      <c r="H1" s="2" t="s">
        <v>20</v>
      </c>
      <c r="I1" s="2" t="s">
        <v>21</v>
      </c>
      <c r="K1" s="1" t="s">
        <v>32</v>
      </c>
      <c r="L1" s="1" t="s">
        <v>22</v>
      </c>
      <c r="M1" s="2" t="s">
        <v>23</v>
      </c>
      <c r="N1" s="2" t="s">
        <v>24</v>
      </c>
      <c r="P1" s="1" t="s">
        <v>33</v>
      </c>
      <c r="Q1" s="1" t="s">
        <v>25</v>
      </c>
      <c r="R1" s="2" t="s">
        <v>26</v>
      </c>
      <c r="S1" s="2" t="s">
        <v>31</v>
      </c>
      <c r="U1" s="1" t="s">
        <v>27</v>
      </c>
      <c r="V1" s="1" t="s">
        <v>28</v>
      </c>
      <c r="W1" s="2" t="s">
        <v>29</v>
      </c>
      <c r="X1" s="2" t="s">
        <v>30</v>
      </c>
    </row>
    <row r="2" spans="1:24" ht="17.25" customHeight="1" x14ac:dyDescent="0.2">
      <c r="A2" s="5">
        <v>6.0999999999999997E-4</v>
      </c>
      <c r="B2" s="5">
        <v>6.5159000000000002</v>
      </c>
      <c r="C2" s="5">
        <v>0.1</v>
      </c>
      <c r="D2" s="5">
        <f>A2*0.00025 + 0.1*0.00008</f>
        <v>8.152500000000002E-6</v>
      </c>
      <c r="E2" s="5"/>
      <c r="F2" s="5">
        <v>1.2723E-2</v>
      </c>
      <c r="G2" s="5">
        <v>1.0167999999999999</v>
      </c>
      <c r="H2" s="5">
        <v>5.0000000000000001E-3</v>
      </c>
      <c r="I2" s="5">
        <f>F2*0.00025 + 0.1*0.00008</f>
        <v>1.1180750000000001E-5</v>
      </c>
      <c r="K2" s="5">
        <v>8.4209999999999997E-3</v>
      </c>
      <c r="L2" s="5">
        <v>0.81967000000000001</v>
      </c>
      <c r="M2" s="5">
        <v>5.0000000000000001E-3</v>
      </c>
      <c r="N2" s="5">
        <f>K2*0.00025 + 0.1*0.00008</f>
        <v>1.0105250000000001E-5</v>
      </c>
      <c r="P2" s="5">
        <v>2.5538000000000002E-2</v>
      </c>
      <c r="Q2" s="5">
        <v>0.10136000000000001</v>
      </c>
      <c r="R2" s="5">
        <v>3.0000000000000001E-3</v>
      </c>
      <c r="S2" s="5">
        <f>P2*0.00025 + 0.1*0.00008</f>
        <v>1.4384500000000001E-5</v>
      </c>
      <c r="U2" s="5">
        <v>1.7271999999999999E-2</v>
      </c>
      <c r="V2" s="5">
        <v>1.4992099999999999</v>
      </c>
      <c r="W2" s="5">
        <v>0.01</v>
      </c>
      <c r="X2" s="5">
        <f>U2*0.00025 + 0.1*0.00008</f>
        <v>1.2318000000000001E-5</v>
      </c>
    </row>
    <row r="3" spans="1:24" ht="17.25" customHeight="1" x14ac:dyDescent="0.2">
      <c r="A3" s="5">
        <v>4.8460000000000003E-2</v>
      </c>
      <c r="B3" s="5">
        <v>6.0959000000000003</v>
      </c>
      <c r="C3" s="5">
        <v>0.1</v>
      </c>
      <c r="D3" s="5">
        <f>A3*0.00025 + 0.1*0.00008</f>
        <v>2.0115000000000003E-5</v>
      </c>
      <c r="F3" s="5">
        <v>0.12528</v>
      </c>
      <c r="G3" s="5">
        <v>0.75094000000000005</v>
      </c>
      <c r="H3" s="5">
        <v>5.0000000000000001E-3</v>
      </c>
      <c r="I3" s="5">
        <f t="shared" ref="I3:I21" si="0">F3*0.00025+0.00006</f>
        <v>9.132E-5</v>
      </c>
      <c r="K3" s="5">
        <v>0.14251</v>
      </c>
      <c r="L3" s="5">
        <v>0.42710999999999999</v>
      </c>
      <c r="M3" s="5">
        <v>5.0000000000000001E-3</v>
      </c>
      <c r="N3" s="5">
        <f t="shared" ref="N3:N17" si="1">K3*0.00025+0.00006</f>
        <v>9.5627499999999992E-5</v>
      </c>
      <c r="P3" s="5">
        <v>9.5972000000000002E-2</v>
      </c>
      <c r="Q3" s="5">
        <v>6.2539999999999998E-2</v>
      </c>
      <c r="R3" s="5">
        <v>3.0000000000000001E-3</v>
      </c>
      <c r="S3" s="5">
        <f>P3*0.00025 + 0.1*0.00008</f>
        <v>3.1993000000000004E-5</v>
      </c>
      <c r="U3" s="5">
        <v>0.14712</v>
      </c>
      <c r="V3" s="5">
        <v>1.2879</v>
      </c>
      <c r="W3" s="5">
        <v>0.01</v>
      </c>
      <c r="X3" s="5">
        <f t="shared" ref="X3:X29" si="2">U3*0.00025+0.00006</f>
        <v>9.6780000000000005E-5</v>
      </c>
    </row>
    <row r="4" spans="1:24" ht="17.25" customHeight="1" x14ac:dyDescent="0.2">
      <c r="A4" s="5">
        <v>9.1380000000000003E-2</v>
      </c>
      <c r="B4" s="5">
        <v>5.7328999999999999</v>
      </c>
      <c r="C4" s="5">
        <v>0.1</v>
      </c>
      <c r="D4" s="5">
        <f>A4*0.00025 + 0.1*0.00008</f>
        <v>3.0845000000000007E-5</v>
      </c>
      <c r="F4" s="5">
        <v>0.25048999999999999</v>
      </c>
      <c r="G4" s="5">
        <v>0.49486999999999998</v>
      </c>
      <c r="H4" s="5">
        <v>5.0000000000000001E-3</v>
      </c>
      <c r="I4" s="5">
        <f t="shared" si="0"/>
        <v>1.226225E-4</v>
      </c>
      <c r="K4" s="5">
        <v>0.22066</v>
      </c>
      <c r="L4" s="5">
        <v>0.23207</v>
      </c>
      <c r="M4" s="5">
        <v>5.0000000000000001E-3</v>
      </c>
      <c r="N4" s="5">
        <f t="shared" si="1"/>
        <v>1.15165E-4</v>
      </c>
      <c r="P4" s="5">
        <v>0.16735</v>
      </c>
      <c r="Q4" s="5">
        <v>2.8840000000000001E-2</v>
      </c>
      <c r="R4" s="5">
        <v>5.0000000000000001E-3</v>
      </c>
      <c r="S4" s="5">
        <f t="shared" ref="S4:S19" si="3">P4*0.00025+0.00006</f>
        <v>1.018375E-4</v>
      </c>
      <c r="U4" s="5">
        <v>0.22881000000000001</v>
      </c>
      <c r="V4" s="5">
        <v>1.02891</v>
      </c>
      <c r="W4" s="5">
        <v>0.01</v>
      </c>
      <c r="X4" s="5">
        <f t="shared" si="2"/>
        <v>1.1720250000000002E-4</v>
      </c>
    </row>
    <row r="5" spans="1:24" ht="17.25" customHeight="1" x14ac:dyDescent="0.2">
      <c r="A5" s="5">
        <v>0.12520000000000001</v>
      </c>
      <c r="B5" s="5">
        <v>5.4543999999999997</v>
      </c>
      <c r="C5" s="5">
        <v>0.1</v>
      </c>
      <c r="D5" s="5">
        <f t="shared" ref="D5:D33" si="4">A5*0.00025+0.00006</f>
        <v>9.1299999999999997E-5</v>
      </c>
      <c r="E5" s="5"/>
      <c r="F5" s="5">
        <v>0.35888999999999999</v>
      </c>
      <c r="G5" s="5">
        <v>0.31402000000000002</v>
      </c>
      <c r="H5" s="5">
        <v>5.0000000000000001E-3</v>
      </c>
      <c r="I5" s="5">
        <f t="shared" si="0"/>
        <v>1.4972250000000001E-4</v>
      </c>
      <c r="K5" s="5">
        <v>0.32850000000000001</v>
      </c>
      <c r="L5" s="5">
        <v>3.7539999999999997E-2</v>
      </c>
      <c r="M5" s="5">
        <v>5.0000000000000001E-3</v>
      </c>
      <c r="N5" s="5">
        <f t="shared" si="1"/>
        <v>1.42125E-4</v>
      </c>
      <c r="P5" s="5">
        <v>0.24165</v>
      </c>
      <c r="Q5" s="5">
        <v>1.48E-3</v>
      </c>
      <c r="R5" s="5">
        <v>8.0000000000000004E-4</v>
      </c>
      <c r="S5" s="5">
        <f t="shared" si="3"/>
        <v>1.2041250000000001E-4</v>
      </c>
      <c r="U5" s="5">
        <v>0.31514999999999999</v>
      </c>
      <c r="V5" s="5">
        <v>0.76890999999999998</v>
      </c>
      <c r="W5" s="5">
        <v>0.01</v>
      </c>
      <c r="X5" s="5">
        <f t="shared" si="2"/>
        <v>1.3878750000000001E-4</v>
      </c>
    </row>
    <row r="6" spans="1:24" ht="17.25" customHeight="1" x14ac:dyDescent="0.2">
      <c r="A6" s="5">
        <v>0.17269999999999999</v>
      </c>
      <c r="B6" s="5">
        <v>5.00129</v>
      </c>
      <c r="C6" s="5">
        <v>0.1</v>
      </c>
      <c r="D6" s="5">
        <f t="shared" si="4"/>
        <v>1.03175E-4</v>
      </c>
      <c r="F6" s="5">
        <v>0.42357</v>
      </c>
      <c r="G6" s="5">
        <v>0.224581</v>
      </c>
      <c r="H6" s="5">
        <v>5.0000000000000001E-3</v>
      </c>
      <c r="I6" s="5">
        <f t="shared" si="0"/>
        <v>1.6589250000000001E-4</v>
      </c>
      <c r="K6" s="5">
        <v>0.42344999999999999</v>
      </c>
      <c r="L6" s="5">
        <v>-7.7700000000000005E-2</v>
      </c>
      <c r="M6" s="5">
        <v>5.0000000000000001E-3</v>
      </c>
      <c r="N6" s="5">
        <f t="shared" si="1"/>
        <v>1.658625E-4</v>
      </c>
      <c r="P6" s="5">
        <v>0.32374000000000003</v>
      </c>
      <c r="Q6" s="5">
        <v>-2.053E-2</v>
      </c>
      <c r="R6" s="5">
        <v>5.0000000000000001E-3</v>
      </c>
      <c r="S6" s="5">
        <f t="shared" si="3"/>
        <v>1.4093500000000002E-4</v>
      </c>
      <c r="U6" s="5">
        <v>0.39722000000000002</v>
      </c>
      <c r="V6" s="5">
        <v>0.55969999999999998</v>
      </c>
      <c r="W6" s="5">
        <v>5.0000000000000001E-3</v>
      </c>
      <c r="X6" s="5">
        <f t="shared" si="2"/>
        <v>1.5930500000000002E-4</v>
      </c>
    </row>
    <row r="7" spans="1:24" ht="17.25" customHeight="1" x14ac:dyDescent="0.2">
      <c r="A7" s="5">
        <v>0.29349999999999998</v>
      </c>
      <c r="B7" s="5">
        <v>4.0575000000000001</v>
      </c>
      <c r="C7" s="5">
        <v>0.1</v>
      </c>
      <c r="D7" s="5">
        <f t="shared" si="4"/>
        <v>1.33375E-4</v>
      </c>
      <c r="F7" s="5">
        <v>0.54990000000000006</v>
      </c>
      <c r="G7" s="5">
        <v>9.4950000000000007E-2</v>
      </c>
      <c r="H7" s="5">
        <v>5.0000000000000001E-3</v>
      </c>
      <c r="I7" s="5">
        <f t="shared" si="0"/>
        <v>1.9747500000000002E-4</v>
      </c>
      <c r="K7" s="5">
        <v>0.51336000000000004</v>
      </c>
      <c r="L7" s="5">
        <v>-0.14763999999999999</v>
      </c>
      <c r="M7" s="5">
        <v>5.0000000000000001E-3</v>
      </c>
      <c r="N7" s="5">
        <f t="shared" si="1"/>
        <v>1.8834E-4</v>
      </c>
      <c r="P7" s="5">
        <v>0.43176999999999999</v>
      </c>
      <c r="Q7" s="5">
        <v>-3.814E-2</v>
      </c>
      <c r="R7" s="5">
        <v>5.0000000000000001E-3</v>
      </c>
      <c r="S7" s="5">
        <f t="shared" si="3"/>
        <v>1.6794250000000001E-4</v>
      </c>
      <c r="U7" s="5">
        <v>0.44074999999999998</v>
      </c>
      <c r="V7" s="5">
        <v>0.46309</v>
      </c>
      <c r="W7" s="5">
        <v>5.0000000000000001E-3</v>
      </c>
      <c r="X7" s="5">
        <f t="shared" si="2"/>
        <v>1.7018750000000001E-4</v>
      </c>
    </row>
    <row r="8" spans="1:24" ht="17.25" customHeight="1" x14ac:dyDescent="0.2">
      <c r="A8" s="5">
        <v>0.34560999999999997</v>
      </c>
      <c r="B8" s="5">
        <v>3.6463999999999999</v>
      </c>
      <c r="C8" s="5">
        <v>0.05</v>
      </c>
      <c r="D8" s="5">
        <f t="shared" si="4"/>
        <v>1.4640249999999999E-4</v>
      </c>
      <c r="F8" s="5">
        <v>0.64378999999999997</v>
      </c>
      <c r="G8" s="5">
        <v>4.1799999999999997E-3</v>
      </c>
      <c r="H8" s="5">
        <v>5.0000000000000001E-4</v>
      </c>
      <c r="I8" s="5">
        <f t="shared" si="0"/>
        <v>2.2094749999999999E-4</v>
      </c>
      <c r="K8" s="5">
        <v>0.60507999999999995</v>
      </c>
      <c r="L8" s="5">
        <v>-0.19950000000000001</v>
      </c>
      <c r="M8" s="5">
        <v>5.0000000000000001E-3</v>
      </c>
      <c r="N8" s="5">
        <f t="shared" si="1"/>
        <v>2.1126999999999997E-4</v>
      </c>
      <c r="P8" s="5">
        <v>0.54847000000000001</v>
      </c>
      <c r="Q8" s="5">
        <v>-4.827E-2</v>
      </c>
      <c r="R8" s="5">
        <v>5.0000000000000001E-3</v>
      </c>
      <c r="S8" s="5">
        <f t="shared" si="3"/>
        <v>1.971175E-4</v>
      </c>
      <c r="U8" s="5">
        <v>0.54444999999999999</v>
      </c>
      <c r="V8" s="5">
        <v>0.25779000000000002</v>
      </c>
      <c r="W8" s="5">
        <v>5.0000000000000001E-3</v>
      </c>
      <c r="X8" s="5">
        <f t="shared" si="2"/>
        <v>1.961125E-4</v>
      </c>
    </row>
    <row r="9" spans="1:24" ht="17.25" customHeight="1" x14ac:dyDescent="0.2">
      <c r="A9" s="5">
        <v>0.47519</v>
      </c>
      <c r="B9" s="5">
        <v>2.657</v>
      </c>
      <c r="C9" s="5">
        <v>0.05</v>
      </c>
      <c r="D9" s="5">
        <f t="shared" si="4"/>
        <v>1.787975E-4</v>
      </c>
      <c r="F9" s="5">
        <v>0.73450000000000004</v>
      </c>
      <c r="G9" s="5">
        <v>-5.5980000000000002E-2</v>
      </c>
      <c r="H9" s="5">
        <v>5.0000000000000001E-4</v>
      </c>
      <c r="I9" s="5">
        <f t="shared" si="0"/>
        <v>2.43625E-4</v>
      </c>
      <c r="K9" s="5">
        <v>0.64819000000000004</v>
      </c>
      <c r="L9" s="5">
        <v>-0.21149999999999999</v>
      </c>
      <c r="M9" s="5">
        <v>5.0000000000000001E-3</v>
      </c>
      <c r="N9" s="5">
        <f t="shared" si="1"/>
        <v>2.2204750000000002E-4</v>
      </c>
      <c r="P9" s="5">
        <v>0.62666999999999995</v>
      </c>
      <c r="Q9" s="5">
        <v>-5.2880000000000003E-2</v>
      </c>
      <c r="R9" s="5">
        <v>5.0000000000000001E-3</v>
      </c>
      <c r="S9" s="5">
        <f t="shared" si="3"/>
        <v>2.1666749999999999E-4</v>
      </c>
      <c r="U9" s="5">
        <v>0.62314000000000003</v>
      </c>
      <c r="V9" s="5">
        <v>0.12770000000000001</v>
      </c>
      <c r="W9" s="5">
        <v>5.0000000000000001E-3</v>
      </c>
      <c r="X9" s="5">
        <f t="shared" si="2"/>
        <v>2.1578499999999999E-4</v>
      </c>
    </row>
    <row r="10" spans="1:24" ht="17.25" customHeight="1" x14ac:dyDescent="0.2">
      <c r="A10" s="5">
        <v>0.60623000000000005</v>
      </c>
      <c r="B10" s="5">
        <v>1.8412500000000001</v>
      </c>
      <c r="C10" s="5">
        <v>0.05</v>
      </c>
      <c r="D10" s="5">
        <f t="shared" si="4"/>
        <v>2.115575E-4</v>
      </c>
      <c r="F10" s="5">
        <v>0.82494999999999996</v>
      </c>
      <c r="G10" s="5">
        <v>-0.10244</v>
      </c>
      <c r="H10" s="5">
        <v>5.0000000000000001E-3</v>
      </c>
      <c r="I10" s="5">
        <f t="shared" si="0"/>
        <v>2.6623750000000001E-4</v>
      </c>
      <c r="K10" s="5">
        <v>0.73931000000000002</v>
      </c>
      <c r="L10" s="5">
        <v>-0.23157</v>
      </c>
      <c r="M10" s="5">
        <v>5.0000000000000001E-3</v>
      </c>
      <c r="N10" s="5">
        <f t="shared" si="1"/>
        <v>2.4482750000000004E-4</v>
      </c>
      <c r="P10" s="5">
        <v>0.72162999999999999</v>
      </c>
      <c r="Q10" s="5">
        <v>-5.5370000000000003E-2</v>
      </c>
      <c r="R10" s="5">
        <v>5.0000000000000001E-3</v>
      </c>
      <c r="S10" s="5">
        <f t="shared" si="3"/>
        <v>2.404075E-4</v>
      </c>
      <c r="U10" s="5">
        <v>0.67822000000000005</v>
      </c>
      <c r="V10" s="5">
        <v>4.897E-2</v>
      </c>
      <c r="W10" s="5">
        <v>5.0000000000000001E-3</v>
      </c>
      <c r="X10" s="5">
        <f t="shared" si="2"/>
        <v>2.2955500000000002E-4</v>
      </c>
    </row>
    <row r="11" spans="1:24" ht="17.25" customHeight="1" x14ac:dyDescent="0.2">
      <c r="A11" s="5">
        <v>0.70009999999999994</v>
      </c>
      <c r="B11" s="5">
        <v>1.3041400000000001</v>
      </c>
      <c r="C11" s="5">
        <v>0.05</v>
      </c>
      <c r="D11" s="5">
        <f t="shared" si="4"/>
        <v>2.3502499999999998E-4</v>
      </c>
      <c r="F11" s="5">
        <v>0.90303020000000001</v>
      </c>
      <c r="G11" s="5">
        <v>-0.13325000000000001</v>
      </c>
      <c r="H11" s="5">
        <v>5.0000000000000001E-3</v>
      </c>
      <c r="I11" s="5">
        <f t="shared" si="0"/>
        <v>2.8575755000000001E-4</v>
      </c>
      <c r="K11" s="5">
        <v>0.85977000000000003</v>
      </c>
      <c r="L11" s="5">
        <v>-0.24479999999999999</v>
      </c>
      <c r="M11" s="5">
        <v>5.0000000000000001E-3</v>
      </c>
      <c r="N11" s="5">
        <f t="shared" si="1"/>
        <v>2.7494250000000003E-4</v>
      </c>
      <c r="P11" s="5">
        <v>0.79910999999999999</v>
      </c>
      <c r="Q11" s="5">
        <v>-5.5309999999999998E-2</v>
      </c>
      <c r="R11" s="5">
        <v>5.0000000000000001E-3</v>
      </c>
      <c r="S11" s="5">
        <f t="shared" si="3"/>
        <v>2.597775E-4</v>
      </c>
      <c r="U11" s="5">
        <v>0.75158000000000003</v>
      </c>
      <c r="V11" s="5">
        <v>-4.453E-2</v>
      </c>
      <c r="W11" s="5">
        <v>5.0000000000000001E-3</v>
      </c>
      <c r="X11" s="5">
        <f t="shared" si="2"/>
        <v>2.4789500000000004E-4</v>
      </c>
    </row>
    <row r="12" spans="1:24" ht="17.25" customHeight="1" x14ac:dyDescent="0.2">
      <c r="A12" s="5">
        <v>0.79459999999999997</v>
      </c>
      <c r="B12" s="5">
        <v>0.83509999999999995</v>
      </c>
      <c r="C12" s="5">
        <v>0.05</v>
      </c>
      <c r="D12" s="5">
        <f t="shared" si="4"/>
        <v>2.5865000000000003E-4</v>
      </c>
      <c r="F12" s="5">
        <v>0.97682999999999998</v>
      </c>
      <c r="G12" s="5">
        <v>-0.15517</v>
      </c>
      <c r="H12" s="5">
        <v>5.0000000000000001E-3</v>
      </c>
      <c r="I12" s="5">
        <f t="shared" si="0"/>
        <v>3.0420749999999998E-4</v>
      </c>
      <c r="K12" s="5">
        <v>0.99851999999999996</v>
      </c>
      <c r="L12" s="5">
        <v>-0.24779999999999999</v>
      </c>
      <c r="M12" s="5">
        <v>5.0000000000000001E-3</v>
      </c>
      <c r="N12" s="5">
        <f t="shared" si="1"/>
        <v>3.0962999999999997E-4</v>
      </c>
      <c r="P12" s="5">
        <v>0.877</v>
      </c>
      <c r="Q12" s="5">
        <v>-5.6000000000000001E-2</v>
      </c>
      <c r="R12" s="5">
        <v>5.0000000000000001E-3</v>
      </c>
      <c r="S12" s="5">
        <f t="shared" si="3"/>
        <v>2.7925000000000004E-4</v>
      </c>
      <c r="U12" s="5">
        <v>0.82055</v>
      </c>
      <c r="V12" s="5">
        <v>-0.1173</v>
      </c>
      <c r="W12" s="5">
        <v>5.0000000000000001E-3</v>
      </c>
      <c r="X12" s="5">
        <f t="shared" si="2"/>
        <v>2.6513749999999999E-4</v>
      </c>
    </row>
    <row r="13" spans="1:24" ht="17.25" customHeight="1" x14ac:dyDescent="0.2">
      <c r="A13" s="5">
        <v>0.86409999999999998</v>
      </c>
      <c r="B13" s="5">
        <v>0.53427000000000002</v>
      </c>
      <c r="C13" s="5">
        <v>0.05</v>
      </c>
      <c r="D13" s="5">
        <f t="shared" si="4"/>
        <v>2.76025E-4</v>
      </c>
      <c r="F13" s="5">
        <v>1.0330999999999999</v>
      </c>
      <c r="G13" s="5">
        <v>-0.16933000000000001</v>
      </c>
      <c r="H13" s="5">
        <v>5.0000000000000001E-3</v>
      </c>
      <c r="I13" s="5">
        <f t="shared" si="0"/>
        <v>3.1827499999999997E-4</v>
      </c>
      <c r="K13" s="5">
        <v>1.12015</v>
      </c>
      <c r="L13" s="5">
        <v>-0.24886</v>
      </c>
      <c r="M13" s="5">
        <v>5.0000000000000001E-3</v>
      </c>
      <c r="N13" s="5">
        <f t="shared" si="1"/>
        <v>3.4003750000000002E-4</v>
      </c>
      <c r="P13" s="5">
        <v>1.0070300000000001</v>
      </c>
      <c r="Q13" s="5">
        <v>-5.6219999999999999E-2</v>
      </c>
      <c r="R13" s="5">
        <v>5.0000000000000001E-3</v>
      </c>
      <c r="S13" s="5">
        <f t="shared" si="3"/>
        <v>3.1175750000000003E-4</v>
      </c>
      <c r="U13" s="5">
        <v>0.89437999999999995</v>
      </c>
      <c r="V13" s="5">
        <v>-0.18410000000000001</v>
      </c>
      <c r="W13" s="5">
        <v>5.0000000000000001E-3</v>
      </c>
      <c r="X13" s="5">
        <f t="shared" si="2"/>
        <v>2.8359499999999998E-4</v>
      </c>
    </row>
    <row r="14" spans="1:24" ht="17.25" customHeight="1" x14ac:dyDescent="0.2">
      <c r="A14" s="5">
        <v>0.92681999999999998</v>
      </c>
      <c r="B14" s="5">
        <v>0.29421000000000003</v>
      </c>
      <c r="C14" s="5">
        <v>0.05</v>
      </c>
      <c r="D14" s="5">
        <f t="shared" si="4"/>
        <v>2.9170500000000001E-4</v>
      </c>
      <c r="F14" s="5">
        <v>1.1189</v>
      </c>
      <c r="G14" s="5">
        <v>-0.18403</v>
      </c>
      <c r="H14" s="5">
        <v>5.0000000000000001E-3</v>
      </c>
      <c r="I14" s="5">
        <f t="shared" si="0"/>
        <v>3.3972499999999998E-4</v>
      </c>
      <c r="K14" s="5">
        <v>1.3104</v>
      </c>
      <c r="L14" s="5">
        <v>-0.25097000000000003</v>
      </c>
      <c r="M14" s="5">
        <v>5.0000000000000001E-3</v>
      </c>
      <c r="N14" s="5">
        <f t="shared" si="1"/>
        <v>3.8759999999999999E-4</v>
      </c>
      <c r="P14" s="5">
        <v>1.1202399999999999</v>
      </c>
      <c r="Q14" s="5">
        <v>-5.7110000000000001E-2</v>
      </c>
      <c r="R14" s="5">
        <v>5.0000000000000001E-3</v>
      </c>
      <c r="S14" s="5">
        <f t="shared" si="3"/>
        <v>3.4005999999999999E-4</v>
      </c>
      <c r="U14" s="5">
        <v>0.93335999999999997</v>
      </c>
      <c r="V14" s="5">
        <v>-0.2157</v>
      </c>
      <c r="W14" s="5">
        <v>5.0000000000000001E-3</v>
      </c>
      <c r="X14" s="5">
        <f t="shared" si="2"/>
        <v>2.9334000000000001E-4</v>
      </c>
    </row>
    <row r="15" spans="1:24" ht="17.25" customHeight="1" x14ac:dyDescent="0.2">
      <c r="A15" s="5">
        <v>0.99863000000000002</v>
      </c>
      <c r="B15" s="5">
        <v>4.3099999999999999E-2</v>
      </c>
      <c r="C15" s="5">
        <v>3.0000000000000001E-3</v>
      </c>
      <c r="D15" s="5">
        <f t="shared" si="4"/>
        <v>3.0965750000000003E-4</v>
      </c>
      <c r="F15" s="5">
        <v>1.2105999999999999</v>
      </c>
      <c r="G15" s="5">
        <v>-0.19345000000000001</v>
      </c>
      <c r="H15" s="5">
        <v>5.0000000000000001E-3</v>
      </c>
      <c r="I15" s="5">
        <f t="shared" si="0"/>
        <v>3.6264999999999995E-4</v>
      </c>
      <c r="K15" s="5">
        <v>1.8077000000000001</v>
      </c>
      <c r="L15" s="5">
        <v>-0.26012999999999997</v>
      </c>
      <c r="M15" s="5">
        <v>5.0000000000000001E-3</v>
      </c>
      <c r="N15" s="5">
        <f t="shared" si="1"/>
        <v>5.119250000000001E-4</v>
      </c>
      <c r="P15" s="5">
        <v>1.4019999999999999</v>
      </c>
      <c r="Q15" s="5">
        <v>-5.7000000000000002E-2</v>
      </c>
      <c r="R15" s="5">
        <v>5.0000000000000001E-3</v>
      </c>
      <c r="S15" s="5">
        <f t="shared" si="3"/>
        <v>4.105E-4</v>
      </c>
      <c r="U15" s="5">
        <v>0.95943999999999996</v>
      </c>
      <c r="V15" s="5">
        <v>-0.23516999999999999</v>
      </c>
      <c r="W15" s="5">
        <v>5.0000000000000001E-3</v>
      </c>
      <c r="X15" s="5">
        <f t="shared" si="2"/>
        <v>2.9985999999999999E-4</v>
      </c>
    </row>
    <row r="16" spans="1:24" ht="17.25" customHeight="1" x14ac:dyDescent="0.2">
      <c r="A16" s="5">
        <v>1.01586</v>
      </c>
      <c r="B16" s="5">
        <v>-9.5499999999999995E-3</v>
      </c>
      <c r="C16" s="5">
        <v>3.0000000000000001E-3</v>
      </c>
      <c r="D16" s="5">
        <f t="shared" si="4"/>
        <v>3.1396499999999998E-4</v>
      </c>
      <c r="F16" s="5">
        <v>1.2713000000000001</v>
      </c>
      <c r="G16" s="5">
        <v>-0.19772000000000001</v>
      </c>
      <c r="H16" s="5">
        <v>5.0000000000000001E-3</v>
      </c>
      <c r="I16" s="5">
        <f t="shared" si="0"/>
        <v>3.7782500000000004E-4</v>
      </c>
      <c r="K16" s="5">
        <v>2.1905000000000001</v>
      </c>
      <c r="L16" s="5">
        <v>-0.26729999999999998</v>
      </c>
      <c r="M16" s="5">
        <v>5.0000000000000001E-3</v>
      </c>
      <c r="N16" s="5">
        <f t="shared" si="1"/>
        <v>6.0762500000000009E-4</v>
      </c>
      <c r="P16" s="5">
        <v>1.6429</v>
      </c>
      <c r="Q16" s="5">
        <v>-5.7630000000000001E-2</v>
      </c>
      <c r="R16" s="5">
        <v>5.0000000000000001E-3</v>
      </c>
      <c r="S16" s="5">
        <f t="shared" si="3"/>
        <v>4.7072500000000002E-4</v>
      </c>
      <c r="U16" s="5">
        <v>0.98973999999999995</v>
      </c>
      <c r="V16" s="5">
        <v>-0.25353999999999999</v>
      </c>
      <c r="W16" s="5">
        <v>5.0000000000000001E-3</v>
      </c>
      <c r="X16" s="5">
        <f t="shared" si="2"/>
        <v>3.07435E-4</v>
      </c>
    </row>
    <row r="17" spans="1:24" ht="17.25" customHeight="1" x14ac:dyDescent="0.2">
      <c r="A17" s="5">
        <v>1.0723100000000001</v>
      </c>
      <c r="B17" s="5">
        <v>-0.17910000000000001</v>
      </c>
      <c r="C17" s="5">
        <v>0.05</v>
      </c>
      <c r="D17" s="5">
        <f t="shared" si="4"/>
        <v>3.2807750000000003E-4</v>
      </c>
      <c r="F17" s="5">
        <v>1.3576999999999999</v>
      </c>
      <c r="G17" s="5">
        <v>-0.20218</v>
      </c>
      <c r="H17" s="5">
        <v>5.0000000000000001E-3</v>
      </c>
      <c r="I17" s="5">
        <f t="shared" si="0"/>
        <v>3.9942499999999996E-4</v>
      </c>
      <c r="K17" s="5">
        <v>2.9620000000000002</v>
      </c>
      <c r="L17" s="5">
        <v>-0.26789000000000002</v>
      </c>
      <c r="M17" s="5">
        <v>5.0000000000000001E-3</v>
      </c>
      <c r="N17" s="5">
        <f t="shared" si="1"/>
        <v>8.005000000000001E-4</v>
      </c>
      <c r="P17" s="5">
        <v>2.0503999999999998</v>
      </c>
      <c r="Q17" s="5">
        <v>-5.883E-2</v>
      </c>
      <c r="R17" s="5">
        <v>5.0000000000000001E-3</v>
      </c>
      <c r="S17" s="5">
        <f t="shared" si="3"/>
        <v>5.7260000000000004E-4</v>
      </c>
      <c r="U17" s="5">
        <v>1.0330999999999999</v>
      </c>
      <c r="V17" s="5">
        <v>-0.27894000000000002</v>
      </c>
      <c r="W17" s="5">
        <v>5.0000000000000001E-3</v>
      </c>
      <c r="X17" s="5">
        <f t="shared" si="2"/>
        <v>3.1827499999999997E-4</v>
      </c>
    </row>
    <row r="18" spans="1:24" ht="17.25" customHeight="1" x14ac:dyDescent="0.2">
      <c r="A18" s="5">
        <v>1.1286499999999999</v>
      </c>
      <c r="B18" s="5">
        <v>-0.3644</v>
      </c>
      <c r="C18" s="5">
        <v>0.05</v>
      </c>
      <c r="D18" s="5">
        <f t="shared" si="4"/>
        <v>3.4216249999999998E-4</v>
      </c>
      <c r="F18" s="5">
        <v>1.5611999999999999</v>
      </c>
      <c r="G18" s="5">
        <v>-0.21132999999999999</v>
      </c>
      <c r="H18" s="5">
        <v>5.0000000000000001E-3</v>
      </c>
      <c r="I18" s="5">
        <f t="shared" si="0"/>
        <v>4.5029999999999999E-4</v>
      </c>
      <c r="P18" s="5">
        <v>2.6067</v>
      </c>
      <c r="Q18" s="5">
        <v>-5.9429999999999997E-2</v>
      </c>
      <c r="R18" s="5">
        <v>5.0000000000000001E-3</v>
      </c>
      <c r="S18" s="5">
        <f t="shared" si="3"/>
        <v>7.1167500000000005E-4</v>
      </c>
      <c r="U18" s="5">
        <v>1.1155999999999999</v>
      </c>
      <c r="V18" s="5">
        <v>-0.31974000000000002</v>
      </c>
      <c r="W18" s="5">
        <v>5.0000000000000001E-3</v>
      </c>
      <c r="X18" s="5">
        <f t="shared" si="2"/>
        <v>3.389E-4</v>
      </c>
    </row>
    <row r="19" spans="1:24" ht="17.25" customHeight="1" x14ac:dyDescent="0.2">
      <c r="A19" s="5">
        <v>1.1859</v>
      </c>
      <c r="B19" s="5">
        <v>-0.46518999999999999</v>
      </c>
      <c r="C19" s="5">
        <v>0.05</v>
      </c>
      <c r="D19" s="5">
        <f t="shared" si="4"/>
        <v>3.5647499999999998E-4</v>
      </c>
      <c r="F19" s="5">
        <v>1.9722999999999999</v>
      </c>
      <c r="G19" s="5">
        <v>-0.21181</v>
      </c>
      <c r="H19" s="5">
        <v>5.0000000000000001E-3</v>
      </c>
      <c r="I19" s="5">
        <f t="shared" si="0"/>
        <v>5.5307500000000009E-4</v>
      </c>
      <c r="P19" s="5">
        <v>2.9830000000000001</v>
      </c>
      <c r="Q19" s="5">
        <v>-6.0199999999999997E-2</v>
      </c>
      <c r="R19" s="5">
        <v>5.0000000000000001E-3</v>
      </c>
      <c r="S19" s="5">
        <f t="shared" si="3"/>
        <v>8.0575000000000004E-4</v>
      </c>
      <c r="U19" s="5">
        <v>1.2841</v>
      </c>
      <c r="V19" s="5">
        <v>-0.38091000000000003</v>
      </c>
      <c r="W19" s="5">
        <v>5.0000000000000001E-3</v>
      </c>
      <c r="X19" s="5">
        <f t="shared" si="2"/>
        <v>3.8102500000000001E-4</v>
      </c>
    </row>
    <row r="20" spans="1:24" ht="17.25" customHeight="1" x14ac:dyDescent="0.2">
      <c r="A20" s="5">
        <v>1.2799</v>
      </c>
      <c r="B20" s="5">
        <v>-0.66700000000000004</v>
      </c>
      <c r="C20" s="5">
        <v>0.05</v>
      </c>
      <c r="D20" s="5">
        <f t="shared" si="4"/>
        <v>3.7997500000000001E-4</v>
      </c>
      <c r="F20" s="5">
        <v>2.4517000000000002</v>
      </c>
      <c r="G20" s="5">
        <v>-0.2145</v>
      </c>
      <c r="H20" s="5">
        <v>5.0000000000000001E-3</v>
      </c>
      <c r="I20" s="5">
        <f t="shared" si="0"/>
        <v>6.7292500000000011E-4</v>
      </c>
      <c r="U20" s="5">
        <v>1.3620000000000001</v>
      </c>
      <c r="V20" s="5">
        <v>-0.39012999999999998</v>
      </c>
      <c r="W20" s="5">
        <v>5.0000000000000001E-3</v>
      </c>
      <c r="X20" s="5">
        <f t="shared" si="2"/>
        <v>4.0050000000000003E-4</v>
      </c>
    </row>
    <row r="21" spans="1:24" ht="17.25" customHeight="1" x14ac:dyDescent="0.2">
      <c r="A21" s="5">
        <v>1.3879999999999999</v>
      </c>
      <c r="B21" s="5">
        <v>-0.84418000000000004</v>
      </c>
      <c r="C21" s="5">
        <v>0.05</v>
      </c>
      <c r="D21" s="5">
        <f t="shared" si="4"/>
        <v>4.0699999999999997E-4</v>
      </c>
      <c r="F21" s="5">
        <v>2.9144999999999999</v>
      </c>
      <c r="G21" s="5">
        <v>-0.21809000000000001</v>
      </c>
      <c r="H21" s="5">
        <v>5.0000000000000001E-3</v>
      </c>
      <c r="I21" s="5">
        <f t="shared" si="0"/>
        <v>7.8862500000000005E-4</v>
      </c>
      <c r="U21" s="5">
        <v>1.4444999999999999</v>
      </c>
      <c r="V21" s="5">
        <v>-0.40303</v>
      </c>
      <c r="W21" s="5">
        <v>5.0000000000000001E-3</v>
      </c>
      <c r="X21" s="5">
        <f t="shared" si="2"/>
        <v>4.2112499999999995E-4</v>
      </c>
    </row>
    <row r="22" spans="1:24" ht="17.25" customHeight="1" x14ac:dyDescent="0.2">
      <c r="A22" s="5">
        <v>1.5006999999999999</v>
      </c>
      <c r="B22" s="5">
        <v>-0.97155999999999998</v>
      </c>
      <c r="C22" s="5">
        <v>0.05</v>
      </c>
      <c r="D22" s="5">
        <f t="shared" si="4"/>
        <v>4.3517499999999999E-4</v>
      </c>
      <c r="U22" s="5">
        <v>1.5309999999999999</v>
      </c>
      <c r="V22" s="5">
        <v>-0.43151899999999999</v>
      </c>
      <c r="W22" s="5">
        <v>5.0000000000000001E-3</v>
      </c>
      <c r="X22" s="5">
        <f t="shared" si="2"/>
        <v>4.4275E-4</v>
      </c>
    </row>
    <row r="23" spans="1:24" ht="17.25" customHeight="1" x14ac:dyDescent="0.2">
      <c r="A23" s="5">
        <v>1.6046</v>
      </c>
      <c r="B23" s="5">
        <v>-1.08769</v>
      </c>
      <c r="C23" s="5">
        <v>0.05</v>
      </c>
      <c r="D23" s="5">
        <f t="shared" si="4"/>
        <v>4.6115000000000001E-4</v>
      </c>
      <c r="U23" s="5">
        <v>1.635</v>
      </c>
      <c r="V23" s="5">
        <v>-0.42980000000000002</v>
      </c>
      <c r="W23" s="5">
        <v>5.0000000000000001E-3</v>
      </c>
      <c r="X23" s="5">
        <f t="shared" si="2"/>
        <v>4.6874999999999998E-4</v>
      </c>
    </row>
    <row r="24" spans="1:24" ht="17.25" customHeight="1" x14ac:dyDescent="0.2">
      <c r="A24" s="5">
        <v>1.7773000000000001</v>
      </c>
      <c r="B24" s="5">
        <v>-1.1956500000000001</v>
      </c>
      <c r="C24" s="5">
        <v>0.05</v>
      </c>
      <c r="D24" s="5">
        <f t="shared" si="4"/>
        <v>5.0432500000000002E-4</v>
      </c>
      <c r="U24" s="5">
        <v>1.6995</v>
      </c>
      <c r="V24" s="5">
        <v>-0.43719999999999998</v>
      </c>
      <c r="W24" s="5">
        <v>5.0000000000000001E-3</v>
      </c>
      <c r="X24" s="5">
        <f t="shared" si="2"/>
        <v>4.8487500000000001E-4</v>
      </c>
    </row>
    <row r="25" spans="1:24" ht="17.25" customHeight="1" x14ac:dyDescent="0.2">
      <c r="A25" s="5">
        <v>1.9205000000000001</v>
      </c>
      <c r="B25" s="5">
        <v>-1.22864</v>
      </c>
      <c r="C25" s="5">
        <v>0.05</v>
      </c>
      <c r="D25" s="5">
        <f t="shared" si="4"/>
        <v>5.4012500000000002E-4</v>
      </c>
      <c r="U25" s="5">
        <v>1.8768</v>
      </c>
      <c r="V25" s="5">
        <v>-0.43709999999999999</v>
      </c>
      <c r="W25" s="5">
        <v>5.0000000000000001E-3</v>
      </c>
      <c r="X25" s="5">
        <f t="shared" si="2"/>
        <v>5.2920000000000007E-4</v>
      </c>
    </row>
    <row r="26" spans="1:24" ht="17.25" customHeight="1" x14ac:dyDescent="0.2">
      <c r="A26" s="5">
        <v>2.0154999999999998</v>
      </c>
      <c r="B26" s="5">
        <v>-1.2499</v>
      </c>
      <c r="C26" s="5">
        <v>0.05</v>
      </c>
      <c r="D26" s="5">
        <f t="shared" si="4"/>
        <v>5.6387500000000003E-4</v>
      </c>
      <c r="U26" s="5">
        <v>2.0503</v>
      </c>
      <c r="V26" s="5">
        <v>-0.44018000000000002</v>
      </c>
      <c r="W26" s="5">
        <v>5.0000000000000001E-3</v>
      </c>
      <c r="X26" s="5">
        <f t="shared" si="2"/>
        <v>5.7257500000000008E-4</v>
      </c>
    </row>
    <row r="27" spans="1:24" ht="17.25" customHeight="1" x14ac:dyDescent="0.2">
      <c r="A27" s="5">
        <v>2.1762999999999999</v>
      </c>
      <c r="B27" s="5">
        <v>-1.2679499999999999</v>
      </c>
      <c r="C27" s="5">
        <v>0.05</v>
      </c>
      <c r="D27" s="5">
        <f t="shared" si="4"/>
        <v>6.0407500000000003E-4</v>
      </c>
      <c r="U27" s="5">
        <v>2.2277999999999998</v>
      </c>
      <c r="V27" s="5">
        <v>-0.44066</v>
      </c>
      <c r="W27" s="5">
        <v>5.0000000000000001E-3</v>
      </c>
      <c r="X27" s="5">
        <f t="shared" si="2"/>
        <v>6.1695000000000001E-4</v>
      </c>
    </row>
    <row r="28" spans="1:24" ht="17.25" customHeight="1" x14ac:dyDescent="0.2">
      <c r="A28" s="5">
        <v>2.3052999999999999</v>
      </c>
      <c r="B28" s="5">
        <v>-1.2719400000000001</v>
      </c>
      <c r="C28" s="5">
        <v>0.05</v>
      </c>
      <c r="D28" s="5">
        <f t="shared" si="4"/>
        <v>6.3632500000000008E-4</v>
      </c>
      <c r="U28" s="5">
        <v>2.5857000000000001</v>
      </c>
      <c r="V28" s="5">
        <v>-0.441</v>
      </c>
      <c r="W28" s="5">
        <v>5.0000000000000001E-3</v>
      </c>
      <c r="X28" s="5">
        <f t="shared" si="2"/>
        <v>7.0642500000000011E-4</v>
      </c>
    </row>
    <row r="29" spans="1:24" ht="17.25" customHeight="1" x14ac:dyDescent="0.2">
      <c r="A29" s="5">
        <v>2.4302999999999999</v>
      </c>
      <c r="B29" s="5">
        <v>-1.2965599999999999</v>
      </c>
      <c r="C29" s="5">
        <v>0.1</v>
      </c>
      <c r="D29" s="5">
        <f t="shared" si="4"/>
        <v>6.67575E-4</v>
      </c>
      <c r="U29" s="5">
        <v>2.9186000000000001</v>
      </c>
      <c r="V29" s="5">
        <v>-0.44245000000000001</v>
      </c>
      <c r="W29" s="5">
        <v>5.0000000000000001E-3</v>
      </c>
      <c r="X29" s="5">
        <f t="shared" si="2"/>
        <v>7.8965000000000014E-4</v>
      </c>
    </row>
    <row r="30" spans="1:24" ht="17.25" customHeight="1" x14ac:dyDescent="0.2">
      <c r="A30" s="5">
        <v>2.6505000000000001</v>
      </c>
      <c r="B30" s="5">
        <v>-1.3087</v>
      </c>
      <c r="C30" s="5">
        <v>0.1</v>
      </c>
      <c r="D30" s="5">
        <f t="shared" si="4"/>
        <v>7.2262500000000007E-4</v>
      </c>
    </row>
    <row r="31" spans="1:24" ht="17.25" customHeight="1" x14ac:dyDescent="0.2">
      <c r="A31" s="5">
        <v>2.9272</v>
      </c>
      <c r="B31" s="5">
        <v>-1.3078000000000001</v>
      </c>
      <c r="C31" s="5">
        <v>0.03</v>
      </c>
      <c r="D31" s="5">
        <f t="shared" si="4"/>
        <v>7.9180000000000006E-4</v>
      </c>
    </row>
    <row r="32" spans="1:24" ht="17.25" customHeight="1" x14ac:dyDescent="0.2">
      <c r="A32" s="5">
        <v>3.3153999999999999</v>
      </c>
      <c r="B32" s="5">
        <v>-1.3280700000000001</v>
      </c>
      <c r="C32" s="5">
        <v>0.03</v>
      </c>
      <c r="D32" s="5">
        <f t="shared" si="4"/>
        <v>8.8885000000000006E-4</v>
      </c>
    </row>
    <row r="33" spans="1:4" ht="17.25" customHeight="1" x14ac:dyDescent="0.2">
      <c r="A33" s="5">
        <v>3.7214999999999998</v>
      </c>
      <c r="B33" s="5">
        <v>-1.3217000000000001</v>
      </c>
      <c r="C33" s="5">
        <v>0.03</v>
      </c>
      <c r="D33" s="5">
        <f t="shared" si="4"/>
        <v>9.9037499999999994E-4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O31"/>
  <sheetViews>
    <sheetView workbookViewId="0">
      <selection activeCell="E26" sqref="E26"/>
    </sheetView>
  </sheetViews>
  <sheetFormatPr baseColWidth="10" defaultColWidth="8.83203125" defaultRowHeight="15" x14ac:dyDescent="0.2"/>
  <cols>
    <col min="1" max="2" width="15.1640625" style="2" bestFit="1" customWidth="1"/>
    <col min="3" max="6" width="12.5" style="2" bestFit="1" customWidth="1"/>
    <col min="7" max="8" width="15.1640625" style="2" bestFit="1" customWidth="1"/>
    <col min="9" max="11" width="12.5" style="2" bestFit="1" customWidth="1"/>
    <col min="12" max="13" width="15.1640625" style="4" bestFit="1" customWidth="1"/>
    <col min="14" max="15" width="12.5" style="4" bestFit="1" customWidth="1"/>
    <col min="16" max="16384" width="8.83203125" style="2"/>
  </cols>
  <sheetData>
    <row r="1" spans="1:15" ht="17.2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1" t="s">
        <v>5</v>
      </c>
      <c r="H1" s="1" t="s">
        <v>6</v>
      </c>
      <c r="I1" s="2" t="s">
        <v>7</v>
      </c>
      <c r="J1" s="2" t="s">
        <v>8</v>
      </c>
      <c r="L1" s="1" t="s">
        <v>9</v>
      </c>
      <c r="M1" s="1" t="s">
        <v>10</v>
      </c>
      <c r="N1" s="4" t="s">
        <v>11</v>
      </c>
      <c r="O1" s="4" t="s">
        <v>12</v>
      </c>
    </row>
    <row r="2" spans="1:15" ht="17.25" customHeight="1" x14ac:dyDescent="0.2">
      <c r="A2" s="5">
        <v>1.8200000000000001E-4</v>
      </c>
      <c r="B2" s="5">
        <v>2.9999999999999997E-4</v>
      </c>
      <c r="C2" s="5">
        <f t="shared" ref="C2:C24" si="0">B2*0.0005+10*0.00015</f>
        <v>1.5001499999999998E-3</v>
      </c>
      <c r="D2" s="5">
        <f>A2*0.00025+0.1*0.00008</f>
        <v>8.0455000000000012E-6</v>
      </c>
      <c r="G2" s="5">
        <v>5.0000000000000004E-6</v>
      </c>
      <c r="H2" s="5">
        <v>4.0000000000000002E-4</v>
      </c>
      <c r="I2" s="5">
        <f t="shared" ref="I2:I28" si="1">H2*0.0005+10*0.00015</f>
        <v>1.5001999999999997E-3</v>
      </c>
      <c r="J2" s="5">
        <f>G2*0.00025+0.1*0.00008</f>
        <v>8.0012500000000007E-6</v>
      </c>
      <c r="L2" s="5">
        <v>9.9999999999999995E-7</v>
      </c>
      <c r="M2" s="5">
        <v>4.0000000000000002E-4</v>
      </c>
      <c r="N2" s="5">
        <f t="shared" ref="N2:N31" si="2">M2*0.0005+10*0.00015</f>
        <v>1.5001999999999997E-3</v>
      </c>
      <c r="O2" s="5">
        <f>L2*0.00025+0.1*0.00008</f>
        <v>8.0002500000000019E-6</v>
      </c>
    </row>
    <row r="3" spans="1:15" ht="17.25" customHeight="1" x14ac:dyDescent="0.2">
      <c r="A3" s="5">
        <v>0.15079000000000001</v>
      </c>
      <c r="B3" s="5">
        <v>4.0000000000000002E-4</v>
      </c>
      <c r="C3" s="5">
        <f t="shared" si="0"/>
        <v>1.5001999999999997E-3</v>
      </c>
      <c r="D3" s="5">
        <f t="shared" ref="D3:D25" si="3">A3*0.00025+1*0.00006</f>
        <v>9.7697500000000004E-5</v>
      </c>
      <c r="G3" s="5">
        <v>0.102691</v>
      </c>
      <c r="H3" s="5">
        <v>5.9999999999999995E-4</v>
      </c>
      <c r="I3" s="5">
        <f t="shared" si="1"/>
        <v>1.5002999999999998E-3</v>
      </c>
      <c r="J3" s="5">
        <f>G3*0.00025+0.1*0.00008</f>
        <v>3.3672750000000004E-5</v>
      </c>
      <c r="L3" s="5">
        <v>2.5656999999999999E-2</v>
      </c>
      <c r="M3" s="5">
        <v>1E-3</v>
      </c>
      <c r="N3" s="5">
        <f t="shared" si="2"/>
        <v>1.5004999999999999E-3</v>
      </c>
      <c r="O3" s="5">
        <f>L3*0.00025+0.1*0.00008</f>
        <v>1.4414250000000002E-5</v>
      </c>
    </row>
    <row r="4" spans="1:15" ht="17.25" customHeight="1" x14ac:dyDescent="0.2">
      <c r="A4" s="5">
        <v>0.22105</v>
      </c>
      <c r="B4" s="5">
        <v>5.0000000000000001E-4</v>
      </c>
      <c r="C4" s="5">
        <f t="shared" si="0"/>
        <v>1.5002499999999998E-3</v>
      </c>
      <c r="D4" s="5">
        <f t="shared" si="3"/>
        <v>1.152625E-4</v>
      </c>
      <c r="G4" s="5">
        <v>0.15973999999999999</v>
      </c>
      <c r="H4" s="5">
        <v>1.9E-3</v>
      </c>
      <c r="I4" s="5">
        <f t="shared" si="1"/>
        <v>1.5009499999999998E-3</v>
      </c>
      <c r="J4" s="5">
        <f t="shared" ref="J4:J28" si="4">G4*0.00025+1*0.00006</f>
        <v>9.9934999999999998E-5</v>
      </c>
      <c r="L4" s="5">
        <v>5.0472000000000003E-2</v>
      </c>
      <c r="M4" s="5">
        <v>2.3E-3</v>
      </c>
      <c r="N4" s="5">
        <f t="shared" si="2"/>
        <v>1.5011499999999997E-3</v>
      </c>
      <c r="O4" s="5">
        <f>L4*0.00025+0.1*0.00008</f>
        <v>2.0618000000000005E-5</v>
      </c>
    </row>
    <row r="5" spans="1:15" ht="17.25" customHeight="1" x14ac:dyDescent="0.2">
      <c r="A5" s="5">
        <v>0.30209999999999998</v>
      </c>
      <c r="B5" s="5">
        <v>3.5999999999999999E-3</v>
      </c>
      <c r="C5" s="5">
        <f t="shared" si="0"/>
        <v>1.5017999999999997E-3</v>
      </c>
      <c r="D5" s="5">
        <f t="shared" si="3"/>
        <v>1.35525E-4</v>
      </c>
      <c r="G5" s="5">
        <v>0.20152999999999999</v>
      </c>
      <c r="H5" s="5">
        <v>6.4000000000000003E-3</v>
      </c>
      <c r="I5" s="5">
        <f t="shared" si="1"/>
        <v>1.5031999999999999E-3</v>
      </c>
      <c r="J5" s="5">
        <f t="shared" si="4"/>
        <v>1.103825E-4</v>
      </c>
      <c r="L5" s="5">
        <v>0.100509</v>
      </c>
      <c r="M5" s="5">
        <v>1.0500000000000001E-2</v>
      </c>
      <c r="N5" s="5">
        <f t="shared" si="2"/>
        <v>1.5052499999999999E-3</v>
      </c>
      <c r="O5" s="5">
        <f>L5*0.00025+0.1*0.00008</f>
        <v>3.312725E-5</v>
      </c>
    </row>
    <row r="6" spans="1:15" ht="17.25" customHeight="1" x14ac:dyDescent="0.2">
      <c r="A6" s="5">
        <v>0.35054000000000002</v>
      </c>
      <c r="B6" s="5">
        <v>1.9800000000000002E-2</v>
      </c>
      <c r="C6" s="5">
        <f t="shared" si="0"/>
        <v>1.5098999999999998E-3</v>
      </c>
      <c r="D6" s="5">
        <f t="shared" si="3"/>
        <v>1.4763500000000002E-4</v>
      </c>
      <c r="G6" s="5">
        <v>0.25086999999999998</v>
      </c>
      <c r="H6" s="5">
        <v>3.0700000000000002E-2</v>
      </c>
      <c r="I6" s="5">
        <f t="shared" si="1"/>
        <v>1.5153499999999997E-3</v>
      </c>
      <c r="J6" s="5">
        <f t="shared" si="4"/>
        <v>1.2271750000000001E-4</v>
      </c>
      <c r="L6" s="5">
        <v>0.12970000000000001</v>
      </c>
      <c r="M6" s="5">
        <v>2.5499999999999998E-2</v>
      </c>
      <c r="N6" s="5">
        <f t="shared" si="2"/>
        <v>1.5127499999999998E-3</v>
      </c>
      <c r="O6" s="5">
        <f t="shared" ref="O6:O31" si="5">L6*0.00025+1*0.00006</f>
        <v>9.242500000000001E-5</v>
      </c>
    </row>
    <row r="7" spans="1:15" ht="17.25" customHeight="1" x14ac:dyDescent="0.2">
      <c r="A7" s="5">
        <v>0.42544999999999999</v>
      </c>
      <c r="B7" s="5">
        <v>0.309</v>
      </c>
      <c r="C7" s="5">
        <f t="shared" si="0"/>
        <v>1.6544999999999997E-3</v>
      </c>
      <c r="D7" s="5">
        <f t="shared" si="3"/>
        <v>1.6636250000000001E-4</v>
      </c>
      <c r="G7" s="5">
        <v>0.30137000000000003</v>
      </c>
      <c r="H7" s="5">
        <v>0.1615</v>
      </c>
      <c r="I7" s="5">
        <f t="shared" si="1"/>
        <v>1.5807499999999999E-3</v>
      </c>
      <c r="J7" s="5">
        <f t="shared" si="4"/>
        <v>1.353425E-4</v>
      </c>
      <c r="L7" s="5">
        <v>0.15533</v>
      </c>
      <c r="M7" s="5">
        <v>5.4699999999999999E-2</v>
      </c>
      <c r="N7" s="5">
        <f t="shared" si="2"/>
        <v>1.5273499999999998E-3</v>
      </c>
      <c r="O7" s="5">
        <f t="shared" si="5"/>
        <v>9.8832499999999999E-5</v>
      </c>
    </row>
    <row r="8" spans="1:15" ht="17.25" customHeight="1" x14ac:dyDescent="0.2">
      <c r="A8" s="5">
        <v>0.45223000000000002</v>
      </c>
      <c r="B8" s="5">
        <v>0.81850000000000001</v>
      </c>
      <c r="C8" s="5">
        <f t="shared" si="0"/>
        <v>1.9092499999999999E-3</v>
      </c>
      <c r="D8" s="5">
        <f t="shared" si="3"/>
        <v>1.7305750000000001E-4</v>
      </c>
      <c r="G8" s="5">
        <v>0.31741000000000003</v>
      </c>
      <c r="H8" s="5">
        <v>0.27400000000000002</v>
      </c>
      <c r="I8" s="5">
        <f t="shared" si="1"/>
        <v>1.6369999999999998E-3</v>
      </c>
      <c r="J8" s="5">
        <f t="shared" si="4"/>
        <v>1.3935250000000001E-4</v>
      </c>
      <c r="L8" s="5">
        <v>0.17745</v>
      </c>
      <c r="M8" s="5">
        <v>0.1062</v>
      </c>
      <c r="N8" s="5">
        <f t="shared" si="2"/>
        <v>1.5530999999999997E-3</v>
      </c>
      <c r="O8" s="5">
        <f t="shared" si="5"/>
        <v>1.043625E-4</v>
      </c>
    </row>
    <row r="9" spans="1:15" ht="17.25" customHeight="1" x14ac:dyDescent="0.2">
      <c r="A9" s="5">
        <v>0.45789999999999997</v>
      </c>
      <c r="B9" s="5">
        <v>1.0041</v>
      </c>
      <c r="C9" s="5">
        <f t="shared" si="0"/>
        <v>2.00205E-3</v>
      </c>
      <c r="D9" s="5">
        <f t="shared" si="3"/>
        <v>1.74475E-4</v>
      </c>
      <c r="G9" s="5">
        <v>0.32985999999999999</v>
      </c>
      <c r="H9" s="5">
        <v>0.4103</v>
      </c>
      <c r="I9" s="5">
        <f t="shared" si="1"/>
        <v>1.7051499999999999E-3</v>
      </c>
      <c r="J9" s="5">
        <f t="shared" si="4"/>
        <v>1.4246500000000001E-4</v>
      </c>
      <c r="L9" s="5">
        <v>0.18992000000000001</v>
      </c>
      <c r="M9" s="5">
        <v>0.15409999999999999</v>
      </c>
      <c r="N9" s="5">
        <f t="shared" si="2"/>
        <v>1.5770499999999998E-3</v>
      </c>
      <c r="O9" s="5">
        <f t="shared" si="5"/>
        <v>1.0747999999999999E-4</v>
      </c>
    </row>
    <row r="10" spans="1:15" ht="17.25" customHeight="1" x14ac:dyDescent="0.2">
      <c r="A10" s="5">
        <v>0.46712999999999999</v>
      </c>
      <c r="B10" s="5">
        <v>1.391</v>
      </c>
      <c r="C10" s="5">
        <f t="shared" si="0"/>
        <v>2.1955E-3</v>
      </c>
      <c r="D10" s="5">
        <f t="shared" si="3"/>
        <v>1.7678250000000001E-4</v>
      </c>
      <c r="G10" s="5">
        <v>0.33867000000000003</v>
      </c>
      <c r="H10" s="5">
        <v>0.54479999999999995</v>
      </c>
      <c r="I10" s="5">
        <f t="shared" si="1"/>
        <v>1.7723999999999999E-3</v>
      </c>
      <c r="J10" s="5">
        <f t="shared" si="4"/>
        <v>1.446675E-4</v>
      </c>
      <c r="L10" s="5">
        <v>0.20207</v>
      </c>
      <c r="M10" s="5">
        <v>0.2208</v>
      </c>
      <c r="N10" s="5">
        <f t="shared" si="2"/>
        <v>1.6103999999999999E-3</v>
      </c>
      <c r="O10" s="5">
        <f t="shared" si="5"/>
        <v>1.1051750000000001E-4</v>
      </c>
    </row>
    <row r="11" spans="1:15" ht="17.25" customHeight="1" x14ac:dyDescent="0.2">
      <c r="A11" s="5">
        <v>0.47177000000000002</v>
      </c>
      <c r="B11" s="5">
        <v>1.6437999999999999</v>
      </c>
      <c r="C11" s="5">
        <f t="shared" si="0"/>
        <v>2.3219E-3</v>
      </c>
      <c r="D11" s="5">
        <f t="shared" si="3"/>
        <v>1.7794250000000001E-4</v>
      </c>
      <c r="G11" s="5">
        <v>0.34816000000000003</v>
      </c>
      <c r="H11" s="5">
        <v>0.7419</v>
      </c>
      <c r="I11" s="5">
        <f t="shared" si="1"/>
        <v>1.8709499999999997E-3</v>
      </c>
      <c r="J11" s="5">
        <f t="shared" si="4"/>
        <v>1.4704E-4</v>
      </c>
      <c r="L11" s="5">
        <v>0.21415999999999999</v>
      </c>
      <c r="M11" s="5">
        <v>0.31459999999999999</v>
      </c>
      <c r="N11" s="5">
        <f t="shared" si="2"/>
        <v>1.6572999999999998E-3</v>
      </c>
      <c r="O11" s="5">
        <f t="shared" si="5"/>
        <v>1.1354E-4</v>
      </c>
    </row>
    <row r="12" spans="1:15" ht="17.25" customHeight="1" x14ac:dyDescent="0.2">
      <c r="A12" s="5">
        <v>0.47355000000000003</v>
      </c>
      <c r="B12" s="5">
        <v>1.7519</v>
      </c>
      <c r="C12" s="5">
        <f t="shared" si="0"/>
        <v>2.3759499999999999E-3</v>
      </c>
      <c r="D12" s="5">
        <f t="shared" si="3"/>
        <v>1.7838750000000002E-4</v>
      </c>
      <c r="G12" s="5">
        <v>0.35597000000000001</v>
      </c>
      <c r="H12" s="5">
        <v>0.95860000000000001</v>
      </c>
      <c r="I12" s="5">
        <f t="shared" si="1"/>
        <v>1.9792999999999998E-3</v>
      </c>
      <c r="J12" s="5">
        <f t="shared" si="4"/>
        <v>1.4899250000000001E-4</v>
      </c>
      <c r="L12" s="5">
        <v>0.22101000000000001</v>
      </c>
      <c r="M12" s="5">
        <v>0.38429999999999997</v>
      </c>
      <c r="N12" s="5">
        <f t="shared" si="2"/>
        <v>1.6921499999999999E-3</v>
      </c>
      <c r="O12" s="5">
        <f t="shared" si="5"/>
        <v>1.1525250000000001E-4</v>
      </c>
    </row>
    <row r="13" spans="1:15" ht="17.25" customHeight="1" x14ac:dyDescent="0.2">
      <c r="A13" s="5">
        <v>0.48000999999999999</v>
      </c>
      <c r="B13" s="5">
        <v>2.1909999999999998</v>
      </c>
      <c r="C13" s="5">
        <f t="shared" si="0"/>
        <v>2.5954999999999997E-3</v>
      </c>
      <c r="D13" s="5">
        <f t="shared" si="3"/>
        <v>1.800025E-4</v>
      </c>
      <c r="G13" s="5">
        <v>0.36520000000000002</v>
      </c>
      <c r="H13" s="5">
        <v>1.2890999999999999</v>
      </c>
      <c r="I13" s="5">
        <f t="shared" si="1"/>
        <v>2.1445499999999998E-3</v>
      </c>
      <c r="J13" s="5">
        <f t="shared" si="4"/>
        <v>1.5130000000000002E-4</v>
      </c>
      <c r="L13" s="5">
        <v>0.22811999999999999</v>
      </c>
      <c r="M13" s="5">
        <v>0.47360000000000002</v>
      </c>
      <c r="N13" s="5">
        <f t="shared" si="2"/>
        <v>1.7367999999999997E-3</v>
      </c>
      <c r="O13" s="5">
        <f t="shared" si="5"/>
        <v>1.1703000000000001E-4</v>
      </c>
    </row>
    <row r="14" spans="1:15" ht="17.25" customHeight="1" x14ac:dyDescent="0.2">
      <c r="A14" s="5">
        <v>0.48626999999999998</v>
      </c>
      <c r="B14" s="5">
        <v>2.7256</v>
      </c>
      <c r="C14" s="5">
        <f t="shared" si="0"/>
        <v>2.8627999999999995E-3</v>
      </c>
      <c r="D14" s="5">
        <f t="shared" si="3"/>
        <v>1.815675E-4</v>
      </c>
      <c r="G14" s="5">
        <v>0.36986000000000002</v>
      </c>
      <c r="H14" s="5">
        <v>1.4906999999999999</v>
      </c>
      <c r="I14" s="5">
        <f t="shared" si="1"/>
        <v>2.2453499999999997E-3</v>
      </c>
      <c r="J14" s="5">
        <f t="shared" si="4"/>
        <v>1.5246500000000001E-4</v>
      </c>
      <c r="L14" s="5">
        <v>0.23808000000000001</v>
      </c>
      <c r="M14" s="5">
        <v>0.63590000000000002</v>
      </c>
      <c r="N14" s="5">
        <f t="shared" si="2"/>
        <v>1.8179499999999998E-3</v>
      </c>
      <c r="O14" s="5">
        <f t="shared" si="5"/>
        <v>1.1952000000000001E-4</v>
      </c>
    </row>
    <row r="15" spans="1:15" ht="17.25" customHeight="1" x14ac:dyDescent="0.2">
      <c r="A15" s="5">
        <v>0.49235000000000001</v>
      </c>
      <c r="B15" s="5">
        <v>3.3475999999999999</v>
      </c>
      <c r="C15" s="5">
        <f t="shared" si="0"/>
        <v>3.1738000000000001E-3</v>
      </c>
      <c r="D15" s="5">
        <f t="shared" si="3"/>
        <v>1.830875E-4</v>
      </c>
      <c r="G15" s="5">
        <v>0.37798999999999999</v>
      </c>
      <c r="H15" s="5">
        <v>1.9239999999999999</v>
      </c>
      <c r="I15" s="5">
        <f t="shared" si="1"/>
        <v>2.4619999999999998E-3</v>
      </c>
      <c r="J15" s="5">
        <f t="shared" si="4"/>
        <v>1.544975E-4</v>
      </c>
      <c r="L15" s="5">
        <v>0.24179999999999999</v>
      </c>
      <c r="M15" s="5">
        <v>0.71020000000000005</v>
      </c>
      <c r="N15" s="5">
        <f t="shared" si="2"/>
        <v>1.8550999999999997E-3</v>
      </c>
      <c r="O15" s="5">
        <f t="shared" si="5"/>
        <v>1.2045E-4</v>
      </c>
    </row>
    <row r="16" spans="1:15" ht="17.25" customHeight="1" x14ac:dyDescent="0.2">
      <c r="A16" s="5">
        <v>0.49787999999999999</v>
      </c>
      <c r="B16" s="5">
        <v>4.0389999999999997</v>
      </c>
      <c r="C16" s="5">
        <f t="shared" si="0"/>
        <v>3.5195000000000001E-3</v>
      </c>
      <c r="D16" s="5">
        <f t="shared" si="3"/>
        <v>1.8447E-4</v>
      </c>
      <c r="G16" s="5">
        <v>0.38144</v>
      </c>
      <c r="H16" s="5">
        <v>2.1585999999999999</v>
      </c>
      <c r="I16" s="5">
        <f t="shared" si="1"/>
        <v>2.5792999999999996E-3</v>
      </c>
      <c r="J16" s="5">
        <f t="shared" si="4"/>
        <v>1.5536E-4</v>
      </c>
      <c r="L16" s="5">
        <v>0.24922</v>
      </c>
      <c r="M16" s="5">
        <v>0.88100000000000001</v>
      </c>
      <c r="N16" s="5">
        <f t="shared" si="2"/>
        <v>1.9405E-3</v>
      </c>
      <c r="O16" s="5">
        <f t="shared" si="5"/>
        <v>1.2230499999999999E-4</v>
      </c>
    </row>
    <row r="17" spans="1:15" ht="17.25" customHeight="1" x14ac:dyDescent="0.2">
      <c r="A17" s="5">
        <v>0.49981999999999999</v>
      </c>
      <c r="B17" s="5">
        <v>4.3343999999999996</v>
      </c>
      <c r="C17" s="5">
        <f t="shared" si="0"/>
        <v>3.6671999999999998E-3</v>
      </c>
      <c r="D17" s="5">
        <f t="shared" si="3"/>
        <v>1.8495499999999999E-4</v>
      </c>
      <c r="G17" s="5">
        <v>0.38717000000000001</v>
      </c>
      <c r="H17" s="5">
        <v>2.585</v>
      </c>
      <c r="I17" s="5">
        <f t="shared" si="1"/>
        <v>2.7924999999999998E-3</v>
      </c>
      <c r="J17" s="5">
        <f t="shared" si="4"/>
        <v>1.5679250000000001E-4</v>
      </c>
      <c r="L17" s="5">
        <v>0.25446999999999997</v>
      </c>
      <c r="M17" s="5">
        <v>1.0257000000000001</v>
      </c>
      <c r="N17" s="5">
        <f t="shared" si="2"/>
        <v>2.0128500000000001E-3</v>
      </c>
      <c r="O17" s="5">
        <f t="shared" si="5"/>
        <v>1.236175E-4</v>
      </c>
    </row>
    <row r="18" spans="1:15" ht="17.25" customHeight="1" x14ac:dyDescent="0.2">
      <c r="A18" s="5">
        <v>0.50163000000000002</v>
      </c>
      <c r="B18" s="5">
        <v>4.5881999999999996</v>
      </c>
      <c r="C18" s="5">
        <f t="shared" si="0"/>
        <v>3.7940999999999999E-3</v>
      </c>
      <c r="D18" s="5">
        <f t="shared" si="3"/>
        <v>1.8540749999999999E-4</v>
      </c>
      <c r="G18" s="5">
        <v>0.39380999999999999</v>
      </c>
      <c r="H18" s="5">
        <v>3.1669999999999998</v>
      </c>
      <c r="I18" s="5">
        <f t="shared" si="1"/>
        <v>3.0834999999999994E-3</v>
      </c>
      <c r="J18" s="5">
        <f t="shared" si="4"/>
        <v>1.5845250000000001E-4</v>
      </c>
      <c r="L18" s="5">
        <v>0.26007999999999998</v>
      </c>
      <c r="M18" s="5">
        <v>1.2095</v>
      </c>
      <c r="N18" s="5">
        <f t="shared" si="2"/>
        <v>2.1047499999999999E-3</v>
      </c>
      <c r="O18" s="5">
        <f t="shared" si="5"/>
        <v>1.2501999999999999E-4</v>
      </c>
    </row>
    <row r="19" spans="1:15" ht="17.25" customHeight="1" x14ac:dyDescent="0.2">
      <c r="A19" s="5">
        <v>0.50673999999999997</v>
      </c>
      <c r="B19" s="5">
        <v>5.4409999999999998</v>
      </c>
      <c r="C19" s="5">
        <f t="shared" si="0"/>
        <v>4.2204999999999994E-3</v>
      </c>
      <c r="D19" s="5">
        <f t="shared" si="3"/>
        <v>1.8668499999999999E-4</v>
      </c>
      <c r="G19" s="5">
        <v>0.39767000000000002</v>
      </c>
      <c r="H19" s="5">
        <v>3.5548999999999999</v>
      </c>
      <c r="I19" s="5">
        <f t="shared" si="1"/>
        <v>3.2774499999999999E-3</v>
      </c>
      <c r="J19" s="5">
        <f t="shared" si="4"/>
        <v>1.594175E-4</v>
      </c>
      <c r="L19" s="5">
        <v>0.26712000000000002</v>
      </c>
      <c r="M19" s="5">
        <v>1.4865999999999999</v>
      </c>
      <c r="N19" s="5">
        <f t="shared" si="2"/>
        <v>2.2432999999999997E-3</v>
      </c>
      <c r="O19" s="5">
        <f t="shared" si="5"/>
        <v>1.2678E-4</v>
      </c>
    </row>
    <row r="20" spans="1:15" ht="17.25" customHeight="1" x14ac:dyDescent="0.2">
      <c r="A20" s="5">
        <v>0.51178000000000001</v>
      </c>
      <c r="B20" s="5">
        <v>6.4108999999999998</v>
      </c>
      <c r="C20" s="5">
        <f t="shared" si="0"/>
        <v>4.7054499999999999E-3</v>
      </c>
      <c r="D20" s="5">
        <f t="shared" si="3"/>
        <v>1.8794499999999999E-4</v>
      </c>
      <c r="G20" s="5">
        <v>0.40062999999999999</v>
      </c>
      <c r="H20" s="5">
        <v>3.8980000000000001</v>
      </c>
      <c r="I20" s="5">
        <f t="shared" si="1"/>
        <v>3.4489999999999998E-3</v>
      </c>
      <c r="J20" s="5">
        <f t="shared" si="4"/>
        <v>1.601575E-4</v>
      </c>
      <c r="L20" s="5">
        <v>0.27351999999999999</v>
      </c>
      <c r="M20" s="5">
        <v>1.7848999999999999</v>
      </c>
      <c r="N20" s="5">
        <f t="shared" si="2"/>
        <v>2.39245E-3</v>
      </c>
      <c r="O20" s="5">
        <f t="shared" si="5"/>
        <v>1.2837999999999999E-4</v>
      </c>
    </row>
    <row r="21" spans="1:15" ht="17.25" customHeight="1" x14ac:dyDescent="0.2">
      <c r="A21" s="5">
        <v>0.51522999999999997</v>
      </c>
      <c r="B21" s="5">
        <v>7.1855000000000002</v>
      </c>
      <c r="C21" s="5">
        <f t="shared" si="0"/>
        <v>5.0927500000000001E-3</v>
      </c>
      <c r="D21" s="5">
        <f t="shared" si="3"/>
        <v>1.8880749999999999E-4</v>
      </c>
      <c r="G21" s="5">
        <v>0.40253</v>
      </c>
      <c r="H21" s="5">
        <v>4.1425999999999998</v>
      </c>
      <c r="I21" s="5">
        <f t="shared" si="1"/>
        <v>3.5712999999999995E-3</v>
      </c>
      <c r="J21" s="5">
        <f t="shared" si="4"/>
        <v>1.606325E-4</v>
      </c>
      <c r="L21" s="5">
        <v>0.28233000000000003</v>
      </c>
      <c r="M21" s="5">
        <v>2.2917000000000001</v>
      </c>
      <c r="N21" s="5">
        <f t="shared" si="2"/>
        <v>2.6458499999999999E-3</v>
      </c>
      <c r="O21" s="5">
        <f t="shared" si="5"/>
        <v>1.305825E-4</v>
      </c>
    </row>
    <row r="22" spans="1:15" ht="17.25" customHeight="1" x14ac:dyDescent="0.2">
      <c r="A22" s="5">
        <v>0.51909000000000005</v>
      </c>
      <c r="B22" s="5">
        <v>8.1320999999999994</v>
      </c>
      <c r="C22" s="5">
        <f t="shared" si="0"/>
        <v>5.5660499999999995E-3</v>
      </c>
      <c r="D22" s="5">
        <f t="shared" si="3"/>
        <v>1.8977250000000001E-4</v>
      </c>
      <c r="G22" s="5">
        <v>0.40784999999999999</v>
      </c>
      <c r="H22" s="5">
        <v>4.8513000000000002</v>
      </c>
      <c r="I22" s="5">
        <f t="shared" si="1"/>
        <v>3.9256500000000001E-3</v>
      </c>
      <c r="J22" s="5">
        <f t="shared" si="4"/>
        <v>1.6196250000000001E-4</v>
      </c>
      <c r="L22" s="5">
        <v>0.28937000000000002</v>
      </c>
      <c r="M22" s="5">
        <v>2.7991000000000001</v>
      </c>
      <c r="N22" s="5">
        <f t="shared" si="2"/>
        <v>2.8995499999999999E-3</v>
      </c>
      <c r="O22" s="5">
        <f t="shared" si="5"/>
        <v>1.3234250000000001E-4</v>
      </c>
    </row>
    <row r="23" spans="1:15" ht="17.25" customHeight="1" x14ac:dyDescent="0.2">
      <c r="A23" s="5">
        <v>0.52256000000000002</v>
      </c>
      <c r="B23" s="5">
        <v>9.0862999999999996</v>
      </c>
      <c r="C23" s="5">
        <f t="shared" si="0"/>
        <v>6.0431499999999997E-3</v>
      </c>
      <c r="D23" s="5">
        <f t="shared" si="3"/>
        <v>1.9064E-4</v>
      </c>
      <c r="G23" s="5">
        <v>0.41088999999999998</v>
      </c>
      <c r="H23" s="5">
        <v>5.298</v>
      </c>
      <c r="I23" s="5">
        <f t="shared" si="1"/>
        <v>4.1489999999999999E-3</v>
      </c>
      <c r="J23" s="5">
        <f t="shared" si="4"/>
        <v>1.627225E-4</v>
      </c>
      <c r="L23" s="5">
        <v>0.29471999999999998</v>
      </c>
      <c r="M23" s="5">
        <v>3.2469000000000001</v>
      </c>
      <c r="N23" s="5">
        <f t="shared" si="2"/>
        <v>3.1234499999999998E-3</v>
      </c>
      <c r="O23" s="5">
        <f t="shared" si="5"/>
        <v>1.3368000000000001E-4</v>
      </c>
    </row>
    <row r="24" spans="1:15" ht="17.25" customHeight="1" x14ac:dyDescent="0.2">
      <c r="A24" s="5">
        <v>0.52512999999999999</v>
      </c>
      <c r="B24" s="5">
        <v>9.8714999999999993</v>
      </c>
      <c r="C24" s="5">
        <f t="shared" si="0"/>
        <v>6.4357499999999996E-3</v>
      </c>
      <c r="D24" s="5">
        <f t="shared" si="3"/>
        <v>1.9128249999999998E-4</v>
      </c>
      <c r="G24" s="5">
        <v>0.41681000000000001</v>
      </c>
      <c r="H24" s="5">
        <v>6.3129</v>
      </c>
      <c r="I24" s="5">
        <f t="shared" si="1"/>
        <v>4.6564499999999995E-3</v>
      </c>
      <c r="J24" s="5">
        <f t="shared" si="4"/>
        <v>1.6420250000000002E-4</v>
      </c>
      <c r="L24" s="5">
        <v>0.30151</v>
      </c>
      <c r="M24" s="5">
        <v>3.9178000000000002</v>
      </c>
      <c r="N24" s="5">
        <f t="shared" si="2"/>
        <v>3.4589E-3</v>
      </c>
      <c r="O24" s="5">
        <f t="shared" si="5"/>
        <v>1.3537750000000001E-4</v>
      </c>
    </row>
    <row r="25" spans="1:15" ht="17.25" customHeight="1" x14ac:dyDescent="0.2">
      <c r="A25" s="5">
        <v>0.52564999999999995</v>
      </c>
      <c r="B25" s="5">
        <v>10.016</v>
      </c>
      <c r="C25" s="5">
        <f>B25*0.0005+100*0.00005</f>
        <v>1.0008E-2</v>
      </c>
      <c r="D25" s="5">
        <f t="shared" si="3"/>
        <v>1.914125E-4</v>
      </c>
      <c r="G25" s="5">
        <v>0.42059999999999997</v>
      </c>
      <c r="H25" s="5">
        <v>7.0701000000000001</v>
      </c>
      <c r="I25" s="5">
        <f t="shared" si="1"/>
        <v>5.0350500000000001E-3</v>
      </c>
      <c r="J25" s="5">
        <f t="shared" si="4"/>
        <v>1.6515E-4</v>
      </c>
      <c r="L25" s="5">
        <v>0.30681000000000003</v>
      </c>
      <c r="M25" s="5">
        <v>4.5316999999999998</v>
      </c>
      <c r="N25" s="5">
        <f t="shared" si="2"/>
        <v>3.7658499999999994E-3</v>
      </c>
      <c r="O25" s="5">
        <f t="shared" si="5"/>
        <v>1.367025E-4</v>
      </c>
    </row>
    <row r="26" spans="1:15" ht="17.25" customHeight="1" x14ac:dyDescent="0.2">
      <c r="G26" s="5">
        <v>0.42514000000000002</v>
      </c>
      <c r="H26" s="5">
        <v>8.0295000000000005</v>
      </c>
      <c r="I26" s="5">
        <f t="shared" si="1"/>
        <v>5.5147499999999997E-3</v>
      </c>
      <c r="J26" s="5">
        <f t="shared" si="4"/>
        <v>1.6628500000000001E-4</v>
      </c>
      <c r="L26" s="5">
        <v>0.31556000000000001</v>
      </c>
      <c r="M26" s="5">
        <v>5.7384000000000004</v>
      </c>
      <c r="N26" s="5">
        <f t="shared" si="2"/>
        <v>4.3692000000000002E-3</v>
      </c>
      <c r="O26" s="5">
        <f t="shared" si="5"/>
        <v>1.3888999999999999E-4</v>
      </c>
    </row>
    <row r="27" spans="1:15" ht="17.25" customHeight="1" x14ac:dyDescent="0.2">
      <c r="G27" s="5">
        <v>0.42987999999999998</v>
      </c>
      <c r="H27" s="5">
        <v>9.2333999999999996</v>
      </c>
      <c r="I27" s="5">
        <f t="shared" si="1"/>
        <v>6.1166999999999992E-3</v>
      </c>
      <c r="J27" s="5">
        <f t="shared" si="4"/>
        <v>1.6746999999999999E-4</v>
      </c>
      <c r="L27" s="5">
        <v>0.31873000000000001</v>
      </c>
      <c r="M27" s="5">
        <v>6.2610000000000001</v>
      </c>
      <c r="N27" s="5">
        <f t="shared" si="2"/>
        <v>4.6305000000000001E-3</v>
      </c>
      <c r="O27" s="5">
        <f t="shared" si="5"/>
        <v>1.396825E-4</v>
      </c>
    </row>
    <row r="28" spans="1:15" ht="17.25" customHeight="1" x14ac:dyDescent="0.2">
      <c r="G28" s="5">
        <v>0.43259999999999998</v>
      </c>
      <c r="H28" s="5">
        <v>9.9552999999999994</v>
      </c>
      <c r="I28" s="5">
        <f t="shared" si="1"/>
        <v>6.4776499999999997E-3</v>
      </c>
      <c r="J28" s="5">
        <f t="shared" si="4"/>
        <v>1.6814999999999999E-4</v>
      </c>
      <c r="L28" s="5">
        <v>0.32345000000000002</v>
      </c>
      <c r="M28" s="5">
        <v>7.069</v>
      </c>
      <c r="N28" s="5">
        <f t="shared" si="2"/>
        <v>5.0344999999999999E-3</v>
      </c>
      <c r="O28" s="5">
        <f t="shared" si="5"/>
        <v>1.4086250000000002E-4</v>
      </c>
    </row>
    <row r="29" spans="1:15" ht="17.25" customHeight="1" x14ac:dyDescent="0.2">
      <c r="L29" s="5">
        <v>0.32802999999999999</v>
      </c>
      <c r="M29" s="5">
        <v>7.9612999999999996</v>
      </c>
      <c r="N29" s="5">
        <f t="shared" si="2"/>
        <v>5.4806499999999992E-3</v>
      </c>
      <c r="O29" s="5">
        <f t="shared" si="5"/>
        <v>1.4200749999999999E-4</v>
      </c>
    </row>
    <row r="30" spans="1:15" ht="17.25" customHeight="1" x14ac:dyDescent="0.2">
      <c r="L30" s="5">
        <v>0.33085999999999999</v>
      </c>
      <c r="M30" s="5">
        <v>8.5769000000000002</v>
      </c>
      <c r="N30" s="5">
        <f t="shared" si="2"/>
        <v>5.7884499999999997E-3</v>
      </c>
      <c r="O30" s="5">
        <f t="shared" si="5"/>
        <v>1.4271499999999999E-4</v>
      </c>
    </row>
    <row r="31" spans="1:15" ht="17.25" customHeight="1" x14ac:dyDescent="0.2">
      <c r="L31" s="5">
        <v>0.33689000000000002</v>
      </c>
      <c r="M31" s="5">
        <v>9.9870000000000001</v>
      </c>
      <c r="N31" s="5">
        <f t="shared" si="2"/>
        <v>6.4935000000000001E-3</v>
      </c>
      <c r="O31" s="5">
        <f t="shared" si="5"/>
        <v>1.4422250000000001E-4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Planck</vt:lpstr>
      <vt:lpstr>Bolzmannkonst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Moritz Langer</cp:lastModifiedBy>
  <dcterms:created xsi:type="dcterms:W3CDTF">2025-11-21T12:50:50Z</dcterms:created>
  <dcterms:modified xsi:type="dcterms:W3CDTF">2025-11-24T09:55:25Z</dcterms:modified>
</cp:coreProperties>
</file>