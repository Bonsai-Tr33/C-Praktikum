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kumente\Uni\Kurse\C-Praktikum\39\"/>
    </mc:Choice>
  </mc:AlternateContent>
  <xr:revisionPtr revIDLastSave="0" documentId="13_ncr:1_{6ACB924A-E364-47FE-B6A2-6670B6521F06}" xr6:coauthVersionLast="47" xr6:coauthVersionMax="47" xr10:uidLastSave="{00000000-0000-0000-0000-000000000000}"/>
  <bookViews>
    <workbookView xWindow="-110" yWindow="-110" windowWidth="19420" windowHeight="10300" xr2:uid="{7DAC399D-DA9B-4AE2-AE99-B5DF49EA5F0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M29" i="1"/>
  <c r="L29" i="1"/>
  <c r="M27" i="1"/>
  <c r="L27" i="1"/>
  <c r="O23" i="1"/>
  <c r="P23" i="1"/>
  <c r="N23" i="1"/>
  <c r="M23" i="1"/>
  <c r="P21" i="1"/>
  <c r="P20" i="1"/>
  <c r="N21" i="1"/>
  <c r="N20" i="1"/>
  <c r="M21" i="1"/>
  <c r="M20" i="1"/>
  <c r="G48" i="1"/>
  <c r="D48" i="1"/>
  <c r="B53" i="1"/>
  <c r="B52" i="1"/>
  <c r="C48" i="1"/>
  <c r="N26" i="1"/>
  <c r="J42" i="1"/>
  <c r="I42" i="1" a="1"/>
  <c r="I42" i="1" s="1"/>
  <c r="G42" i="1"/>
  <c r="F42" i="1" a="1"/>
  <c r="F42" i="1" s="1"/>
  <c r="J36" i="1"/>
  <c r="I36" i="1" a="1"/>
  <c r="I36" i="1" s="1"/>
  <c r="J30" i="1"/>
  <c r="I30" i="1" a="1"/>
  <c r="I30" i="1" s="1"/>
  <c r="G36" i="1"/>
  <c r="F36" i="1" a="1"/>
  <c r="F36" i="1" s="1"/>
  <c r="G30" i="1"/>
  <c r="F30" i="1" a="1"/>
  <c r="F30" i="1" s="1"/>
  <c r="D36" i="1"/>
  <c r="C36" i="1" a="1"/>
  <c r="C36" i="1" s="1"/>
  <c r="D30" i="1"/>
  <c r="C30" i="1" a="1"/>
  <c r="C30" i="1" s="1"/>
  <c r="A14" i="1"/>
  <c r="D42" i="1" l="1"/>
  <c r="C42" i="1" a="1"/>
  <c r="C42" i="1" s="1"/>
  <c r="A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<sst xmlns="http://schemas.openxmlformats.org/spreadsheetml/2006/main" count="69" uniqueCount="36">
  <si>
    <t>R</t>
  </si>
  <si>
    <t>R_V</t>
  </si>
  <si>
    <t>Zeilen</t>
  </si>
  <si>
    <t>Messung pro Sekunde</t>
  </si>
  <si>
    <t>U_Anfang</t>
  </si>
  <si>
    <t>U_Ende</t>
  </si>
  <si>
    <t>U pro s</t>
  </si>
  <si>
    <t>Fe-Ni</t>
  </si>
  <si>
    <t>N1</t>
  </si>
  <si>
    <t>N2</t>
  </si>
  <si>
    <t>60/80</t>
  </si>
  <si>
    <t>Höhe</t>
  </si>
  <si>
    <t>Füllfaktor</t>
  </si>
  <si>
    <t>äußerer d</t>
  </si>
  <si>
    <t>innerer d</t>
  </si>
  <si>
    <t>Flachstahl</t>
  </si>
  <si>
    <t>Holz</t>
  </si>
  <si>
    <t>Fe-Ni 5000Z</t>
  </si>
  <si>
    <t>Koerzitiv</t>
  </si>
  <si>
    <t>Wert 1</t>
  </si>
  <si>
    <t>Wert 2</t>
  </si>
  <si>
    <t>Mittelwert</t>
  </si>
  <si>
    <t>a</t>
  </si>
  <si>
    <t>Remanenz</t>
  </si>
  <si>
    <t>Wert1</t>
  </si>
  <si>
    <t>Wert2</t>
  </si>
  <si>
    <t>Fe-Ni 5000H2</t>
  </si>
  <si>
    <t>Sättigung</t>
  </si>
  <si>
    <t>Fläche</t>
  </si>
  <si>
    <t>Steigung</t>
  </si>
  <si>
    <t>mu</t>
  </si>
  <si>
    <t>Dichte</t>
  </si>
  <si>
    <t>Energie</t>
  </si>
  <si>
    <t>h</t>
  </si>
  <si>
    <t>b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</si>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</sst>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E7FC-D22F-4182-903C-7DE358930CAA}">
  <dimension ref="A1:P2740"/>
  <sheetViews>
    <sheetView tabSelected="1" topLeftCell="A23" zoomScale="91" workbookViewId="0">
      <selection activeCell="E31" sqref="E31"/>
    </sheetView>
  </sheetViews>
  <sheetFormatPr baseColWidth="10" defaultRowHeight="14.5" x14ac:dyDescent="0.35"/>
  <cols>
    <col min="1" max="1" width="21.1796875" customWidth="1"/>
    <col min="3" max="3" width="11.6328125" customWidth="1"/>
    <col min="4" max="4" width="13.08984375" bestFit="1" customWidth="1"/>
    <col min="12" max="14" width="13.08984375" bestFit="1" customWidth="1"/>
    <col min="16" max="16" width="13.08984375" bestFit="1" customWidth="1"/>
  </cols>
  <sheetData>
    <row r="1" spans="1:13" x14ac:dyDescent="0.35">
      <c r="A1" t="s">
        <v>22</v>
      </c>
    </row>
    <row r="2" spans="1:13" x14ac:dyDescent="0.35">
      <c r="B2" t="s">
        <v>7</v>
      </c>
      <c r="C2" t="s">
        <v>15</v>
      </c>
      <c r="D2" t="s">
        <v>16</v>
      </c>
      <c r="E2" t="s">
        <v>17</v>
      </c>
    </row>
    <row r="3" spans="1:13" x14ac:dyDescent="0.35">
      <c r="A3" t="s">
        <v>1</v>
      </c>
      <c r="B3" t="s">
        <v>8</v>
      </c>
    </row>
    <row r="4" spans="1:13" x14ac:dyDescent="0.35">
      <c r="A4">
        <v>66.89</v>
      </c>
      <c r="B4">
        <v>605</v>
      </c>
      <c r="C4">
        <v>1010</v>
      </c>
      <c r="D4">
        <v>1010</v>
      </c>
      <c r="E4">
        <v>610</v>
      </c>
    </row>
    <row r="5" spans="1:13" x14ac:dyDescent="0.35">
      <c r="A5" t="s">
        <v>0</v>
      </c>
      <c r="B5" t="s">
        <v>9</v>
      </c>
      <c r="M5" s="1"/>
    </row>
    <row r="6" spans="1:13" x14ac:dyDescent="0.35">
      <c r="A6">
        <v>0.24</v>
      </c>
      <c r="B6" t="s">
        <v>10</v>
      </c>
      <c r="C6">
        <v>53</v>
      </c>
      <c r="D6">
        <v>250</v>
      </c>
      <c r="E6">
        <v>56</v>
      </c>
    </row>
    <row r="7" spans="1:13" x14ac:dyDescent="0.35">
      <c r="B7" t="s">
        <v>11</v>
      </c>
    </row>
    <row r="8" spans="1:13" x14ac:dyDescent="0.35">
      <c r="B8">
        <v>0.03</v>
      </c>
      <c r="C8">
        <v>0.03</v>
      </c>
      <c r="D8">
        <v>0.03</v>
      </c>
      <c r="E8">
        <v>0.03</v>
      </c>
    </row>
    <row r="9" spans="1:13" x14ac:dyDescent="0.35">
      <c r="A9" t="s">
        <v>2</v>
      </c>
      <c r="B9" t="s">
        <v>12</v>
      </c>
    </row>
    <row r="10" spans="1:13" x14ac:dyDescent="0.35">
      <c r="A10">
        <v>4370</v>
      </c>
      <c r="B10">
        <v>0.9</v>
      </c>
      <c r="C10">
        <v>1</v>
      </c>
      <c r="D10">
        <v>1</v>
      </c>
      <c r="E10">
        <v>0.9</v>
      </c>
    </row>
    <row r="11" spans="1:13" x14ac:dyDescent="0.35">
      <c r="A11" t="s">
        <v>3</v>
      </c>
      <c r="B11" t="s">
        <v>13</v>
      </c>
    </row>
    <row r="12" spans="1:13" x14ac:dyDescent="0.35">
      <c r="A12">
        <v>20</v>
      </c>
      <c r="B12">
        <v>0.26</v>
      </c>
      <c r="C12">
        <v>0.26</v>
      </c>
      <c r="D12">
        <v>0.26</v>
      </c>
      <c r="E12">
        <v>0.26</v>
      </c>
    </row>
    <row r="13" spans="1:13" x14ac:dyDescent="0.35">
      <c r="A13" t="s">
        <v>4</v>
      </c>
      <c r="B13" t="s">
        <v>14</v>
      </c>
    </row>
    <row r="14" spans="1:13" x14ac:dyDescent="0.35">
      <c r="A14">
        <f>7.458*10^-5</f>
        <v>7.4580000000000008E-5</v>
      </c>
      <c r="B14">
        <v>0.22</v>
      </c>
      <c r="C14">
        <v>0.22</v>
      </c>
      <c r="D14">
        <v>0.22</v>
      </c>
      <c r="E14">
        <v>0.22</v>
      </c>
    </row>
    <row r="15" spans="1:13" x14ac:dyDescent="0.35">
      <c r="A15" t="s">
        <v>5</v>
      </c>
    </row>
    <row r="16" spans="1:13" x14ac:dyDescent="0.35">
      <c r="A16">
        <v>2.8000000000000001E-2</v>
      </c>
    </row>
    <row r="17" spans="1:16" x14ac:dyDescent="0.35">
      <c r="A17" t="s">
        <v>6</v>
      </c>
    </row>
    <row r="18" spans="1:16" x14ac:dyDescent="0.35">
      <c r="A18">
        <f>(A16-A14)/A10*A12</f>
        <v>1.2780512585812358E-4</v>
      </c>
    </row>
    <row r="20" spans="1:16" x14ac:dyDescent="0.35">
      <c r="M20">
        <f>-2.21477428*10^3</f>
        <v>-2214.7742800000001</v>
      </c>
      <c r="N20">
        <f>1010*$A$51*10^(-3)/(PI()*(0.26+0.22)/2*0.24)</f>
        <v>6.8094000304803277</v>
      </c>
      <c r="O20">
        <v>-5.1485568800000003E-3</v>
      </c>
      <c r="P20">
        <f>2*0.01*$A$51*10^(-3)/(0.03*0.04*250)</f>
        <v>8.133333333333335E-5</v>
      </c>
    </row>
    <row r="21" spans="1:16" x14ac:dyDescent="0.35">
      <c r="M21">
        <f>2.22298222*10^3</f>
        <v>2222.9822199999999</v>
      </c>
      <c r="N21">
        <f>1010*$A$51*10^(-3)/(PI()*(0.26+0.22)/2*0.24)</f>
        <v>6.8094000304803277</v>
      </c>
      <c r="O21">
        <v>5.8438031000000003E-3</v>
      </c>
      <c r="P21">
        <f>2*0.01*$A$51*10^(-3)/(0.03*0.04*250)</f>
        <v>8.133333333333335E-5</v>
      </c>
    </row>
    <row r="22" spans="1:16" x14ac:dyDescent="0.35">
      <c r="C22" t="s">
        <v>26</v>
      </c>
      <c r="F22" t="s">
        <v>15</v>
      </c>
      <c r="I22" t="s">
        <v>17</v>
      </c>
      <c r="L22" t="s">
        <v>16</v>
      </c>
      <c r="M22" t="s">
        <v>35</v>
      </c>
    </row>
    <row r="23" spans="1:16" x14ac:dyDescent="0.35">
      <c r="M23">
        <f>M21-M20</f>
        <v>4437.7564999999995</v>
      </c>
      <c r="N23">
        <f>SQRT(N21^2+N20^2)</f>
        <v>9.6299458747290458</v>
      </c>
      <c r="O23">
        <f>O21-O20</f>
        <v>1.0992359980000001E-2</v>
      </c>
      <c r="P23">
        <f>SQRT(P21^2+P20^2)</f>
        <v>1.1502270307301175E-4</v>
      </c>
    </row>
    <row r="25" spans="1:16" x14ac:dyDescent="0.35">
      <c r="C25" t="s">
        <v>18</v>
      </c>
    </row>
    <row r="26" spans="1:16" x14ac:dyDescent="0.35">
      <c r="C26" t="s">
        <v>19</v>
      </c>
      <c r="D26" t="s">
        <v>20</v>
      </c>
      <c r="F26" t="s">
        <v>24</v>
      </c>
      <c r="G26" t="s">
        <v>25</v>
      </c>
      <c r="I26" t="s">
        <v>24</v>
      </c>
      <c r="J26" t="s">
        <v>25</v>
      </c>
      <c r="L26" t="s">
        <v>29</v>
      </c>
      <c r="N26">
        <f>1.25663706*10^(-6)</f>
        <v>1.2566370599999999E-6</v>
      </c>
    </row>
    <row r="27" spans="1:16" x14ac:dyDescent="0.35">
      <c r="C27">
        <v>-3.0642953999999998</v>
      </c>
      <c r="D27">
        <v>-3.1007751899999998</v>
      </c>
      <c r="E27">
        <v>3.2831737300000001</v>
      </c>
      <c r="F27">
        <v>156.40674899999999</v>
      </c>
      <c r="G27">
        <v>153.21477400000001</v>
      </c>
      <c r="I27">
        <v>13.6798906</v>
      </c>
      <c r="J27">
        <v>13.0870953</v>
      </c>
      <c r="L27">
        <f>O23/M23</f>
        <v>2.4770083667276477E-6</v>
      </c>
      <c r="M27">
        <f>L27*SQRT((N23/M23)^2+(P23/O23)^2)</f>
        <v>2.6470590955259532E-8</v>
      </c>
    </row>
    <row r="28" spans="1:16" x14ac:dyDescent="0.35">
      <c r="L28" t="s">
        <v>30</v>
      </c>
    </row>
    <row r="29" spans="1:16" x14ac:dyDescent="0.35">
      <c r="C29" t="s">
        <v>21</v>
      </c>
      <c r="F29" t="s">
        <v>21</v>
      </c>
      <c r="I29" t="s">
        <v>21</v>
      </c>
      <c r="L29">
        <f>L27/N26</f>
        <v>1.9711406304757937</v>
      </c>
      <c r="M29">
        <f>M27/N26</f>
        <v>2.1064627009535701E-2</v>
      </c>
    </row>
    <row r="30" spans="1:16" x14ac:dyDescent="0.35">
      <c r="C30" cm="1">
        <f t="array" ref="C30">AVERAGE(ABS(C27:D27))</f>
        <v>3.0825352949999996</v>
      </c>
      <c r="D30">
        <f>(ABS(D27)-ABS(C27))/2</f>
        <v>1.8239895000000006E-2</v>
      </c>
      <c r="F30" cm="1">
        <f t="array" ref="F30">AVERAGE(ABS(F27:G27))</f>
        <v>154.81076150000001</v>
      </c>
      <c r="G30">
        <f>ABS(ABS(G27)-ABS(F27))/2</f>
        <v>1.5959874999999926</v>
      </c>
      <c r="I30" cm="1">
        <f t="array" ref="I30">AVERAGE(ABS(I27:J27))</f>
        <v>13.383492950000001</v>
      </c>
      <c r="J30">
        <f>ABS(ABS(J27)-ABS(I27))/2</f>
        <v>0.29639765000000029</v>
      </c>
    </row>
    <row r="31" spans="1:16" x14ac:dyDescent="0.35">
      <c r="C31" t="s">
        <v>23</v>
      </c>
      <c r="F31" t="s">
        <v>23</v>
      </c>
      <c r="I31" t="s">
        <v>23</v>
      </c>
    </row>
    <row r="32" spans="1:16" x14ac:dyDescent="0.35">
      <c r="C32" t="s">
        <v>24</v>
      </c>
      <c r="D32" t="s">
        <v>25</v>
      </c>
      <c r="F32" t="s">
        <v>24</v>
      </c>
      <c r="G32" t="s">
        <v>25</v>
      </c>
      <c r="I32" t="s">
        <v>24</v>
      </c>
      <c r="J32" t="s">
        <v>25</v>
      </c>
    </row>
    <row r="33" spans="2:10" x14ac:dyDescent="0.35">
      <c r="C33">
        <v>0.994057725</v>
      </c>
      <c r="D33">
        <v>-0.97368421100000002</v>
      </c>
      <c r="F33">
        <v>0.85568760600000005</v>
      </c>
      <c r="G33">
        <v>0.88044708500000002</v>
      </c>
      <c r="I33">
        <v>1.3657328799999999</v>
      </c>
      <c r="J33">
        <v>1.3964346299999999</v>
      </c>
    </row>
    <row r="35" spans="2:10" x14ac:dyDescent="0.35">
      <c r="C35" t="s">
        <v>21</v>
      </c>
      <c r="F35" t="s">
        <v>21</v>
      </c>
      <c r="I35" t="s">
        <v>21</v>
      </c>
    </row>
    <row r="36" spans="2:10" x14ac:dyDescent="0.35">
      <c r="C36" cm="1">
        <f t="array" ref="C36">AVERAGE(ABS(C33:D33))</f>
        <v>0.98387096799999996</v>
      </c>
      <c r="D36">
        <f>(ABS(C33)-ABS(D33))/2</f>
        <v>1.0186756999999991E-2</v>
      </c>
      <c r="F36" cm="1">
        <f t="array" ref="F36">AVERAGE(ABS(F33:G33))</f>
        <v>0.86806734550000009</v>
      </c>
      <c r="G36">
        <f>ABS(ABS(G33)-ABS(F33))/2</f>
        <v>1.2379739499999987E-2</v>
      </c>
      <c r="I36" cm="1">
        <f t="array" ref="I36">AVERAGE(ABS(I33:J33))</f>
        <v>1.3810837549999999</v>
      </c>
      <c r="J36">
        <f>ABS(ABS(J33)-ABS(I33))/2</f>
        <v>1.5350874999999986E-2</v>
      </c>
    </row>
    <row r="37" spans="2:10" x14ac:dyDescent="0.35">
      <c r="C37" t="s">
        <v>27</v>
      </c>
      <c r="F37" t="s">
        <v>27</v>
      </c>
      <c r="I37" t="s">
        <v>27</v>
      </c>
    </row>
    <row r="38" spans="2:10" x14ac:dyDescent="0.35">
      <c r="C38" t="s">
        <v>24</v>
      </c>
      <c r="D38" t="s">
        <v>25</v>
      </c>
      <c r="F38" t="s">
        <v>24</v>
      </c>
      <c r="G38" t="s">
        <v>25</v>
      </c>
      <c r="I38" t="s">
        <v>24</v>
      </c>
      <c r="J38" t="s">
        <v>25</v>
      </c>
    </row>
    <row r="39" spans="2:10" x14ac:dyDescent="0.35">
      <c r="C39">
        <v>1.3835597100000001</v>
      </c>
      <c r="D39">
        <v>1.37563667</v>
      </c>
      <c r="F39">
        <v>1.59804754</v>
      </c>
      <c r="G39">
        <v>1.5827574</v>
      </c>
      <c r="I39">
        <v>1.4235993199999999</v>
      </c>
      <c r="J39">
        <v>1.3943123900000001</v>
      </c>
    </row>
    <row r="41" spans="2:10" x14ac:dyDescent="0.35">
      <c r="C41" t="s">
        <v>21</v>
      </c>
      <c r="F41" t="s">
        <v>21</v>
      </c>
      <c r="I41" t="s">
        <v>21</v>
      </c>
    </row>
    <row r="42" spans="2:10" x14ac:dyDescent="0.35">
      <c r="C42" cm="1">
        <f t="array" ref="C42">AVERAGE(ABS(C39:D39))</f>
        <v>1.3795981900000001</v>
      </c>
      <c r="D42">
        <f>ABS(ABS(D39)-ABS(C39))/2</f>
        <v>3.9615200000000517E-3</v>
      </c>
      <c r="F42" cm="1">
        <f t="array" ref="F42">AVERAGE(ABS(F39:G39))</f>
        <v>1.5904024699999999</v>
      </c>
      <c r="G42">
        <f>ABS(ABS(G39)-ABS(F39))/2</f>
        <v>7.6450700000000316E-3</v>
      </c>
      <c r="I42" cm="1">
        <f t="array" ref="I42">AVERAGE(ABS(I39:J39))</f>
        <v>1.4089558549999999</v>
      </c>
      <c r="J42">
        <f>ABS(ABS(J39)-ABS(I39))/2</f>
        <v>1.4643464999999911E-2</v>
      </c>
    </row>
    <row r="44" spans="2:10" x14ac:dyDescent="0.35">
      <c r="B44" t="s">
        <v>31</v>
      </c>
      <c r="C44" t="s">
        <v>28</v>
      </c>
      <c r="E44" t="s">
        <v>31</v>
      </c>
      <c r="F44" t="s">
        <v>28</v>
      </c>
      <c r="I44" t="s">
        <v>28</v>
      </c>
    </row>
    <row r="46" spans="2:10" x14ac:dyDescent="0.35">
      <c r="B46">
        <v>8.25</v>
      </c>
      <c r="C46">
        <v>20.319521171674001</v>
      </c>
      <c r="D46">
        <v>19.667483427758</v>
      </c>
      <c r="E46">
        <v>7.8</v>
      </c>
      <c r="F46">
        <v>1402.8817986675001</v>
      </c>
      <c r="G46">
        <v>1158.9854977184</v>
      </c>
    </row>
    <row r="47" spans="2:10" x14ac:dyDescent="0.35">
      <c r="C47" t="s">
        <v>32</v>
      </c>
      <c r="F47" t="s">
        <v>32</v>
      </c>
    </row>
    <row r="48" spans="2:10" x14ac:dyDescent="0.35">
      <c r="C48">
        <f>C46/B46</f>
        <v>2.4629722632332123</v>
      </c>
      <c r="D48">
        <f>(C46-D46)/2/B46</f>
        <v>3.9517439025212167E-2</v>
      </c>
      <c r="F48">
        <f>ROUND(F46/E46, 0)</f>
        <v>180</v>
      </c>
      <c r="G48">
        <f>ROUND((F46-G46)/2/E46, 0)</f>
        <v>16</v>
      </c>
    </row>
    <row r="51" spans="1:2" x14ac:dyDescent="0.35">
      <c r="A51">
        <v>1.22</v>
      </c>
    </row>
    <row r="52" spans="1:2" x14ac:dyDescent="0.35">
      <c r="A52" t="s">
        <v>33</v>
      </c>
      <c r="B52">
        <f>A51*605*10^(-3)/(PI()*(0.26+0.22)/2*66.89)</f>
        <v>1.4635005668028103E-2</v>
      </c>
    </row>
    <row r="53" spans="1:2" x14ac:dyDescent="0.35">
      <c r="A53" t="s">
        <v>34</v>
      </c>
      <c r="B53">
        <f>2*0.1*A51*10^(-3)/(0.9*0.03*0.04*60)</f>
        <v>3.765432098765432E-3</v>
      </c>
    </row>
    <row r="347" spans="9:9" x14ac:dyDescent="0.35">
      <c r="I347" s="1"/>
    </row>
    <row r="349" spans="9:9" x14ac:dyDescent="0.35">
      <c r="I349" s="1"/>
    </row>
    <row r="351" spans="9:9" x14ac:dyDescent="0.35">
      <c r="I351" s="1"/>
    </row>
    <row r="353" spans="9:9" x14ac:dyDescent="0.35">
      <c r="I353" s="1"/>
    </row>
    <row r="355" spans="9:9" x14ac:dyDescent="0.35">
      <c r="I355" s="1"/>
    </row>
    <row r="357" spans="9:9" x14ac:dyDescent="0.35">
      <c r="I357" s="1"/>
    </row>
    <row r="359" spans="9:9" x14ac:dyDescent="0.35">
      <c r="I359" s="1"/>
    </row>
    <row r="361" spans="9:9" x14ac:dyDescent="0.35">
      <c r="I361" s="1"/>
    </row>
    <row r="363" spans="9:9" x14ac:dyDescent="0.35">
      <c r="I363" s="1"/>
    </row>
    <row r="365" spans="9:9" x14ac:dyDescent="0.35">
      <c r="I365" s="1"/>
    </row>
    <row r="367" spans="9:9" x14ac:dyDescent="0.35">
      <c r="I367" s="1"/>
    </row>
    <row r="369" spans="9:9" x14ac:dyDescent="0.35">
      <c r="I369" s="1"/>
    </row>
    <row r="370" spans="9:9" x14ac:dyDescent="0.35">
      <c r="I370" s="1"/>
    </row>
    <row r="371" spans="9:9" x14ac:dyDescent="0.35">
      <c r="I371" s="1"/>
    </row>
    <row r="373" spans="9:9" x14ac:dyDescent="0.35">
      <c r="I373" s="1"/>
    </row>
    <row r="374" spans="9:9" x14ac:dyDescent="0.35">
      <c r="I374" s="1"/>
    </row>
    <row r="375" spans="9:9" x14ac:dyDescent="0.35">
      <c r="I375" s="1"/>
    </row>
    <row r="376" spans="9:9" x14ac:dyDescent="0.35">
      <c r="I376" s="1"/>
    </row>
    <row r="377" spans="9:9" x14ac:dyDescent="0.35">
      <c r="I377" s="1"/>
    </row>
    <row r="378" spans="9:9" x14ac:dyDescent="0.35">
      <c r="I378" s="1"/>
    </row>
    <row r="379" spans="9:9" x14ac:dyDescent="0.35">
      <c r="I379" s="1"/>
    </row>
    <row r="380" spans="9:9" x14ac:dyDescent="0.35">
      <c r="I380" s="1"/>
    </row>
    <row r="381" spans="9:9" x14ac:dyDescent="0.35">
      <c r="I381" s="1"/>
    </row>
    <row r="382" spans="9:9" x14ac:dyDescent="0.35">
      <c r="I382" s="1"/>
    </row>
    <row r="383" spans="9:9" x14ac:dyDescent="0.35">
      <c r="I383" s="1"/>
    </row>
    <row r="384" spans="9:9" x14ac:dyDescent="0.35">
      <c r="I384" s="1"/>
    </row>
    <row r="385" spans="9:9" x14ac:dyDescent="0.35">
      <c r="I385" s="1"/>
    </row>
    <row r="386" spans="9:9" x14ac:dyDescent="0.35">
      <c r="I386" s="1"/>
    </row>
    <row r="387" spans="9:9" x14ac:dyDescent="0.35">
      <c r="I387" s="1"/>
    </row>
    <row r="388" spans="9:9" x14ac:dyDescent="0.35">
      <c r="I388" s="1"/>
    </row>
    <row r="389" spans="9:9" x14ac:dyDescent="0.35">
      <c r="I389" s="1"/>
    </row>
    <row r="390" spans="9:9" x14ac:dyDescent="0.35">
      <c r="I390" s="1"/>
    </row>
    <row r="391" spans="9:9" x14ac:dyDescent="0.35">
      <c r="I391" s="1"/>
    </row>
    <row r="392" spans="9:9" x14ac:dyDescent="0.35">
      <c r="I392" s="1"/>
    </row>
    <row r="393" spans="9:9" x14ac:dyDescent="0.35">
      <c r="I393" s="1"/>
    </row>
    <row r="394" spans="9:9" x14ac:dyDescent="0.35">
      <c r="I394" s="1"/>
    </row>
    <row r="395" spans="9:9" x14ac:dyDescent="0.35">
      <c r="I395" s="1"/>
    </row>
    <row r="396" spans="9:9" x14ac:dyDescent="0.35">
      <c r="I396" s="1"/>
    </row>
    <row r="397" spans="9:9" x14ac:dyDescent="0.35">
      <c r="I397" s="1"/>
    </row>
    <row r="398" spans="9:9" x14ac:dyDescent="0.35">
      <c r="I398" s="1"/>
    </row>
    <row r="400" spans="9:9" x14ac:dyDescent="0.35">
      <c r="I400" s="1"/>
    </row>
    <row r="401" spans="9:9" x14ac:dyDescent="0.35">
      <c r="I401" s="1"/>
    </row>
    <row r="402" spans="9:9" x14ac:dyDescent="0.35">
      <c r="I402" s="1"/>
    </row>
    <row r="404" spans="9:9" x14ac:dyDescent="0.35">
      <c r="I404" s="1"/>
    </row>
    <row r="406" spans="9:9" x14ac:dyDescent="0.35">
      <c r="I406" s="1"/>
    </row>
    <row r="408" spans="9:9" x14ac:dyDescent="0.35">
      <c r="I408" s="1"/>
    </row>
    <row r="416" spans="9:9" x14ac:dyDescent="0.35">
      <c r="I416" s="1"/>
    </row>
    <row r="2727" spans="9:9" x14ac:dyDescent="0.35">
      <c r="I2727" s="1"/>
    </row>
    <row r="2729" spans="9:9" x14ac:dyDescent="0.35">
      <c r="I2729" s="1"/>
    </row>
    <row r="2731" spans="9:9" x14ac:dyDescent="0.35">
      <c r="I2731" s="1"/>
    </row>
    <row r="2733" spans="9:9" x14ac:dyDescent="0.35">
      <c r="I2733" s="1"/>
    </row>
    <row r="2735" spans="9:9" x14ac:dyDescent="0.35">
      <c r="I2735" s="1"/>
    </row>
    <row r="2737" spans="9:9" x14ac:dyDescent="0.35">
      <c r="I2737" s="1"/>
    </row>
    <row r="2739" spans="9:9" x14ac:dyDescent="0.35">
      <c r="I2739" s="1"/>
    </row>
    <row r="2740" spans="9:9" x14ac:dyDescent="0.35">
      <c r="I274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Baumbach</dc:creator>
  <cp:lastModifiedBy>Jonas Baumbach</cp:lastModifiedBy>
  <dcterms:created xsi:type="dcterms:W3CDTF">2024-09-25T07:26:05Z</dcterms:created>
  <dcterms:modified xsi:type="dcterms:W3CDTF">2024-10-12T13:12:25Z</dcterms:modified>
</cp:coreProperties>
</file>